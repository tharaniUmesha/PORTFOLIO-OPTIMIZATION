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rani Umesha\Desktop\3rd yr 2nd sem\Portfolio optimization\Mid Assignment\"/>
    </mc:Choice>
  </mc:AlternateContent>
  <xr:revisionPtr revIDLastSave="0" documentId="13_ncr:1_{E90CABD3-0A91-402C-904E-D2E06A3666E9}" xr6:coauthVersionLast="47" xr6:coauthVersionMax="47" xr10:uidLastSave="{00000000-0000-0000-0000-000000000000}"/>
  <bookViews>
    <workbookView xWindow="-108" yWindow="-108" windowWidth="23256" windowHeight="12456" activeTab="3" xr2:uid="{CA195B9C-6003-4209-97A9-EF5BC2FCF3DE}"/>
  </bookViews>
  <sheets>
    <sheet name="Sheet1" sheetId="1" r:id="rId1"/>
    <sheet name=" Risk–return profiles&amp; (heatmp)" sheetId="2" r:id="rId2"/>
    <sheet name="Robust Max sharp Portfolio" sheetId="3" r:id="rId3"/>
    <sheet name=" Rolling-window portfolio analy" sheetId="4" r:id="rId4"/>
  </sheets>
  <definedNames>
    <definedName name="solver_adj" localSheetId="2" hidden="1">'Robust Max sharp Portfolio'!$B$4:$F$4</definedName>
    <definedName name="solver_adj" localSheetId="0" hidden="1">Sheet1!$Y$18:$AC$18</definedName>
    <definedName name="solver_cvg" localSheetId="2" hidden="1">0.0001</definedName>
    <definedName name="solver_cvg" localSheetId="0" hidden="1">0.0001</definedName>
    <definedName name="solver_drv" localSheetId="2" hidden="1">1</definedName>
    <definedName name="solver_drv" localSheetId="0" hidden="1">1</definedName>
    <definedName name="solver_eng" localSheetId="2" hidden="1">1</definedName>
    <definedName name="solver_eng" localSheetId="0" hidden="1">1</definedName>
    <definedName name="solver_est" localSheetId="2" hidden="1">1</definedName>
    <definedName name="solver_est" localSheetId="0" hidden="1">1</definedName>
    <definedName name="solver_itr" localSheetId="2" hidden="1">2147483647</definedName>
    <definedName name="solver_itr" localSheetId="0" hidden="1">2147483647</definedName>
    <definedName name="solver_lhs1" localSheetId="2" hidden="1">'Robust Max sharp Portfolio'!$B$4:$F$4</definedName>
    <definedName name="solver_lhs1" localSheetId="0" hidden="1">Sheet1!$AD$18</definedName>
    <definedName name="solver_lhs2" localSheetId="2" hidden="1">'Robust Max sharp Portfolio'!$B$4:$F$4</definedName>
    <definedName name="solver_lhs2" localSheetId="0" hidden="1">Sheet1!$Y$19:$AC$19</definedName>
    <definedName name="solver_lhs3" localSheetId="2" hidden="1">'Robust Max sharp Portfolio'!$G$4</definedName>
    <definedName name="solver_mip" localSheetId="2" hidden="1">2147483647</definedName>
    <definedName name="solver_mip" localSheetId="0" hidden="1">2147483647</definedName>
    <definedName name="solver_mni" localSheetId="2" hidden="1">30</definedName>
    <definedName name="solver_mni" localSheetId="0" hidden="1">30</definedName>
    <definedName name="solver_mrt" localSheetId="2" hidden="1">0.075</definedName>
    <definedName name="solver_mrt" localSheetId="0" hidden="1">0.075</definedName>
    <definedName name="solver_msl" localSheetId="2" hidden="1">2</definedName>
    <definedName name="solver_msl" localSheetId="0" hidden="1">2</definedName>
    <definedName name="solver_neg" localSheetId="2" hidden="1">1</definedName>
    <definedName name="solver_neg" localSheetId="0" hidden="1">1</definedName>
    <definedName name="solver_nod" localSheetId="2" hidden="1">2147483647</definedName>
    <definedName name="solver_nod" localSheetId="0" hidden="1">2147483647</definedName>
    <definedName name="solver_num" localSheetId="2" hidden="1">3</definedName>
    <definedName name="solver_num" localSheetId="0" hidden="1">1</definedName>
    <definedName name="solver_nwt" localSheetId="2" hidden="1">1</definedName>
    <definedName name="solver_nwt" localSheetId="0" hidden="1">1</definedName>
    <definedName name="solver_opt" localSheetId="2" hidden="1">'Robust Max sharp Portfolio'!$B$10</definedName>
    <definedName name="solver_opt" localSheetId="0" hidden="1">Sheet1!$Y$26</definedName>
    <definedName name="solver_pre" localSheetId="2" hidden="1">0.000001</definedName>
    <definedName name="solver_pre" localSheetId="0" hidden="1">0.000001</definedName>
    <definedName name="solver_rbv" localSheetId="2" hidden="1">1</definedName>
    <definedName name="solver_rbv" localSheetId="0" hidden="1">1</definedName>
    <definedName name="solver_rel1" localSheetId="2" hidden="1">1</definedName>
    <definedName name="solver_rel1" localSheetId="0" hidden="1">2</definedName>
    <definedName name="solver_rel2" localSheetId="2" hidden="1">3</definedName>
    <definedName name="solver_rel2" localSheetId="0" hidden="1">3</definedName>
    <definedName name="solver_rel3" localSheetId="2" hidden="1">2</definedName>
    <definedName name="solver_rhs1" localSheetId="2" hidden="1">30%</definedName>
    <definedName name="solver_rhs1" localSheetId="0" hidden="1">100%</definedName>
    <definedName name="solver_rhs2" localSheetId="2" hidden="1">5%</definedName>
    <definedName name="solver_rhs2" localSheetId="0" hidden="1">0</definedName>
    <definedName name="solver_rhs3" localSheetId="2" hidden="1">100%</definedName>
    <definedName name="solver_rlx" localSheetId="2" hidden="1">2</definedName>
    <definedName name="solver_rlx" localSheetId="0" hidden="1">2</definedName>
    <definedName name="solver_rsd" localSheetId="2" hidden="1">0</definedName>
    <definedName name="solver_rsd" localSheetId="0" hidden="1">0</definedName>
    <definedName name="solver_scl" localSheetId="2" hidden="1">1</definedName>
    <definedName name="solver_scl" localSheetId="0" hidden="1">1</definedName>
    <definedName name="solver_sho" localSheetId="2" hidden="1">2</definedName>
    <definedName name="solver_sho" localSheetId="0" hidden="1">2</definedName>
    <definedName name="solver_ssz" localSheetId="2" hidden="1">100</definedName>
    <definedName name="solver_ssz" localSheetId="0" hidden="1">100</definedName>
    <definedName name="solver_tim" localSheetId="2" hidden="1">2147483647</definedName>
    <definedName name="solver_tim" localSheetId="0" hidden="1">2147483647</definedName>
    <definedName name="solver_tol" localSheetId="2" hidden="1">0.01</definedName>
    <definedName name="solver_tol" localSheetId="0" hidden="1">0.01</definedName>
    <definedName name="solver_typ" localSheetId="2" hidden="1">1</definedName>
    <definedName name="solver_typ" localSheetId="0" hidden="1">1</definedName>
    <definedName name="solver_val" localSheetId="2" hidden="1">0</definedName>
    <definedName name="solver_val" localSheetId="0" hidden="1">0</definedName>
    <definedName name="solver_ver" localSheetId="2" hidden="1">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I341" i="4" s="1"/>
  <c r="J341" i="4" s="1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I389" i="4" s="1"/>
  <c r="J389" i="4" s="1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I693" i="4" s="1"/>
  <c r="J693" i="4" s="1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3" i="4"/>
  <c r="Y52" i="1"/>
  <c r="Y51" i="1"/>
  <c r="Y49" i="1" a="1"/>
  <c r="Y49" i="1" s="1"/>
  <c r="Y50" i="1" s="1"/>
  <c r="AD46" i="1"/>
  <c r="R46" i="1"/>
  <c r="S46" i="1"/>
  <c r="T46" i="1"/>
  <c r="U46" i="1"/>
  <c r="Q46" i="1"/>
  <c r="V45" i="1"/>
  <c r="S45" i="1"/>
  <c r="T45" i="1"/>
  <c r="U45" i="1"/>
  <c r="R45" i="1"/>
  <c r="Q45" i="1"/>
  <c r="B10" i="3"/>
  <c r="G4" i="3"/>
  <c r="AR19" i="1"/>
  <c r="AQ16" i="1"/>
  <c r="AR16" i="1" s="1"/>
  <c r="AQ17" i="1"/>
  <c r="AR17" i="1" s="1"/>
  <c r="AQ18" i="1"/>
  <c r="AR18" i="1" s="1"/>
  <c r="AQ19" i="1"/>
  <c r="AQ15" i="1"/>
  <c r="AR15" i="1" s="1"/>
  <c r="AL10" i="1"/>
  <c r="AM10" i="1"/>
  <c r="AN10" i="1"/>
  <c r="AO10" i="1"/>
  <c r="AK10" i="1"/>
  <c r="AL9" i="1"/>
  <c r="AM9" i="1"/>
  <c r="AN9" i="1"/>
  <c r="AO9" i="1"/>
  <c r="AK9" i="1"/>
  <c r="I292" i="4" l="1"/>
  <c r="J292" i="4" s="1"/>
  <c r="I685" i="4"/>
  <c r="J685" i="4" s="1"/>
  <c r="I677" i="4"/>
  <c r="J677" i="4" s="1"/>
  <c r="I62" i="4"/>
  <c r="J62" i="4" s="1"/>
  <c r="I749" i="4"/>
  <c r="J749" i="4" s="1"/>
  <c r="I725" i="4"/>
  <c r="J725" i="4" s="1"/>
  <c r="I701" i="4"/>
  <c r="J701" i="4" s="1"/>
  <c r="I645" i="4"/>
  <c r="J645" i="4" s="1"/>
  <c r="I661" i="4"/>
  <c r="J661" i="4" s="1"/>
  <c r="I733" i="4"/>
  <c r="J733" i="4" s="1"/>
  <c r="I709" i="4"/>
  <c r="J709" i="4" s="1"/>
  <c r="I669" i="4"/>
  <c r="J669" i="4" s="1"/>
  <c r="I741" i="4"/>
  <c r="J741" i="4" s="1"/>
  <c r="I717" i="4"/>
  <c r="J717" i="4" s="1"/>
  <c r="I653" i="4"/>
  <c r="J653" i="4" s="1"/>
  <c r="I605" i="4"/>
  <c r="J605" i="4" s="1"/>
  <c r="I589" i="4"/>
  <c r="J589" i="4" s="1"/>
  <c r="I541" i="4"/>
  <c r="J541" i="4" s="1"/>
  <c r="I493" i="4"/>
  <c r="J493" i="4" s="1"/>
  <c r="I724" i="4"/>
  <c r="J724" i="4" s="1"/>
  <c r="I676" i="4"/>
  <c r="J676" i="4" s="1"/>
  <c r="I620" i="4"/>
  <c r="J620" i="4" s="1"/>
  <c r="I572" i="4"/>
  <c r="J572" i="4" s="1"/>
  <c r="I284" i="4"/>
  <c r="J284" i="4" s="1"/>
  <c r="I276" i="4"/>
  <c r="J276" i="4" s="1"/>
  <c r="I268" i="4"/>
  <c r="J268" i="4" s="1"/>
  <c r="I260" i="4"/>
  <c r="J260" i="4" s="1"/>
  <c r="I252" i="4"/>
  <c r="J252" i="4" s="1"/>
  <c r="I244" i="4"/>
  <c r="J244" i="4" s="1"/>
  <c r="I236" i="4"/>
  <c r="J236" i="4" s="1"/>
  <c r="I228" i="4"/>
  <c r="J228" i="4" s="1"/>
  <c r="I220" i="4"/>
  <c r="J220" i="4" s="1"/>
  <c r="I212" i="4"/>
  <c r="J212" i="4" s="1"/>
  <c r="I204" i="4"/>
  <c r="J204" i="4" s="1"/>
  <c r="I196" i="4"/>
  <c r="J196" i="4" s="1"/>
  <c r="I188" i="4"/>
  <c r="J188" i="4" s="1"/>
  <c r="I180" i="4"/>
  <c r="J180" i="4" s="1"/>
  <c r="I172" i="4"/>
  <c r="J172" i="4" s="1"/>
  <c r="I164" i="4"/>
  <c r="J164" i="4" s="1"/>
  <c r="I156" i="4"/>
  <c r="J156" i="4" s="1"/>
  <c r="I148" i="4"/>
  <c r="J148" i="4" s="1"/>
  <c r="I140" i="4"/>
  <c r="J140" i="4" s="1"/>
  <c r="I132" i="4"/>
  <c r="J132" i="4" s="1"/>
  <c r="I124" i="4"/>
  <c r="J124" i="4" s="1"/>
  <c r="I116" i="4"/>
  <c r="J116" i="4" s="1"/>
  <c r="I621" i="4"/>
  <c r="J621" i="4" s="1"/>
  <c r="I565" i="4"/>
  <c r="J565" i="4" s="1"/>
  <c r="I509" i="4"/>
  <c r="J509" i="4" s="1"/>
  <c r="I461" i="4"/>
  <c r="J461" i="4" s="1"/>
  <c r="I429" i="4"/>
  <c r="J429" i="4" s="1"/>
  <c r="I716" i="4"/>
  <c r="J716" i="4" s="1"/>
  <c r="I660" i="4"/>
  <c r="J660" i="4" s="1"/>
  <c r="I604" i="4"/>
  <c r="J604" i="4" s="1"/>
  <c r="I580" i="4"/>
  <c r="J580" i="4" s="1"/>
  <c r="I540" i="4"/>
  <c r="J540" i="4" s="1"/>
  <c r="I516" i="4"/>
  <c r="J516" i="4" s="1"/>
  <c r="I492" i="4"/>
  <c r="J492" i="4" s="1"/>
  <c r="I460" i="4"/>
  <c r="J460" i="4" s="1"/>
  <c r="I428" i="4"/>
  <c r="J428" i="4" s="1"/>
  <c r="I404" i="4"/>
  <c r="J404" i="4" s="1"/>
  <c r="I396" i="4"/>
  <c r="J396" i="4" s="1"/>
  <c r="I388" i="4"/>
  <c r="J388" i="4" s="1"/>
  <c r="I380" i="4"/>
  <c r="J380" i="4" s="1"/>
  <c r="I372" i="4"/>
  <c r="J372" i="4" s="1"/>
  <c r="I364" i="4"/>
  <c r="J364" i="4" s="1"/>
  <c r="I356" i="4"/>
  <c r="J356" i="4" s="1"/>
  <c r="I348" i="4"/>
  <c r="J348" i="4" s="1"/>
  <c r="I340" i="4"/>
  <c r="J340" i="4" s="1"/>
  <c r="I332" i="4"/>
  <c r="J332" i="4" s="1"/>
  <c r="I324" i="4"/>
  <c r="J324" i="4" s="1"/>
  <c r="I316" i="4"/>
  <c r="J316" i="4" s="1"/>
  <c r="I308" i="4"/>
  <c r="J308" i="4" s="1"/>
  <c r="I300" i="4"/>
  <c r="J300" i="4" s="1"/>
  <c r="I747" i="4"/>
  <c r="J747" i="4" s="1"/>
  <c r="I739" i="4"/>
  <c r="J739" i="4" s="1"/>
  <c r="I731" i="4"/>
  <c r="J731" i="4" s="1"/>
  <c r="I723" i="4"/>
  <c r="J723" i="4" s="1"/>
  <c r="I715" i="4"/>
  <c r="J715" i="4" s="1"/>
  <c r="I707" i="4"/>
  <c r="J707" i="4" s="1"/>
  <c r="I699" i="4"/>
  <c r="J699" i="4" s="1"/>
  <c r="I691" i="4"/>
  <c r="J691" i="4" s="1"/>
  <c r="I683" i="4"/>
  <c r="J683" i="4" s="1"/>
  <c r="I675" i="4"/>
  <c r="J675" i="4" s="1"/>
  <c r="I667" i="4"/>
  <c r="J667" i="4" s="1"/>
  <c r="I659" i="4"/>
  <c r="J659" i="4" s="1"/>
  <c r="I651" i="4"/>
  <c r="J651" i="4" s="1"/>
  <c r="I643" i="4"/>
  <c r="J643" i="4" s="1"/>
  <c r="I635" i="4"/>
  <c r="J635" i="4" s="1"/>
  <c r="I627" i="4"/>
  <c r="J627" i="4" s="1"/>
  <c r="I619" i="4"/>
  <c r="J619" i="4" s="1"/>
  <c r="I611" i="4"/>
  <c r="J611" i="4" s="1"/>
  <c r="I603" i="4"/>
  <c r="J603" i="4" s="1"/>
  <c r="I595" i="4"/>
  <c r="J595" i="4" s="1"/>
  <c r="I587" i="4"/>
  <c r="J587" i="4" s="1"/>
  <c r="I579" i="4"/>
  <c r="J579" i="4" s="1"/>
  <c r="I571" i="4"/>
  <c r="J571" i="4" s="1"/>
  <c r="I563" i="4"/>
  <c r="J563" i="4" s="1"/>
  <c r="I555" i="4"/>
  <c r="J555" i="4" s="1"/>
  <c r="I547" i="4"/>
  <c r="J547" i="4" s="1"/>
  <c r="I539" i="4"/>
  <c r="J539" i="4" s="1"/>
  <c r="I531" i="4"/>
  <c r="J531" i="4" s="1"/>
  <c r="I523" i="4"/>
  <c r="J523" i="4" s="1"/>
  <c r="I515" i="4"/>
  <c r="J515" i="4" s="1"/>
  <c r="I507" i="4"/>
  <c r="J507" i="4" s="1"/>
  <c r="I499" i="4"/>
  <c r="J499" i="4" s="1"/>
  <c r="I491" i="4"/>
  <c r="J491" i="4" s="1"/>
  <c r="I483" i="4"/>
  <c r="J483" i="4" s="1"/>
  <c r="I475" i="4"/>
  <c r="J475" i="4" s="1"/>
  <c r="I467" i="4"/>
  <c r="J467" i="4" s="1"/>
  <c r="I459" i="4"/>
  <c r="J459" i="4" s="1"/>
  <c r="I451" i="4"/>
  <c r="J451" i="4" s="1"/>
  <c r="I435" i="4"/>
  <c r="J435" i="4" s="1"/>
  <c r="I419" i="4"/>
  <c r="J419" i="4" s="1"/>
  <c r="I403" i="4"/>
  <c r="J403" i="4" s="1"/>
  <c r="I387" i="4"/>
  <c r="J387" i="4" s="1"/>
  <c r="I323" i="4"/>
  <c r="J323" i="4" s="1"/>
  <c r="I613" i="4"/>
  <c r="J613" i="4" s="1"/>
  <c r="I549" i="4"/>
  <c r="J549" i="4" s="1"/>
  <c r="I501" i="4"/>
  <c r="J501" i="4" s="1"/>
  <c r="I453" i="4"/>
  <c r="J453" i="4" s="1"/>
  <c r="I405" i="4"/>
  <c r="J405" i="4" s="1"/>
  <c r="I700" i="4"/>
  <c r="J700" i="4" s="1"/>
  <c r="I652" i="4"/>
  <c r="J652" i="4" s="1"/>
  <c r="I612" i="4"/>
  <c r="J612" i="4" s="1"/>
  <c r="I588" i="4"/>
  <c r="J588" i="4" s="1"/>
  <c r="I556" i="4"/>
  <c r="J556" i="4" s="1"/>
  <c r="I532" i="4"/>
  <c r="J532" i="4" s="1"/>
  <c r="I508" i="4"/>
  <c r="J508" i="4" s="1"/>
  <c r="I484" i="4"/>
  <c r="J484" i="4" s="1"/>
  <c r="I468" i="4"/>
  <c r="J468" i="4" s="1"/>
  <c r="I444" i="4"/>
  <c r="J444" i="4" s="1"/>
  <c r="I420" i="4"/>
  <c r="J420" i="4" s="1"/>
  <c r="I746" i="4"/>
  <c r="J746" i="4" s="1"/>
  <c r="I730" i="4"/>
  <c r="J730" i="4" s="1"/>
  <c r="I714" i="4"/>
  <c r="J714" i="4" s="1"/>
  <c r="I698" i="4"/>
  <c r="J698" i="4" s="1"/>
  <c r="I674" i="4"/>
  <c r="J674" i="4" s="1"/>
  <c r="I658" i="4"/>
  <c r="J658" i="4" s="1"/>
  <c r="I642" i="4"/>
  <c r="J642" i="4" s="1"/>
  <c r="I626" i="4"/>
  <c r="J626" i="4" s="1"/>
  <c r="I610" i="4"/>
  <c r="J610" i="4" s="1"/>
  <c r="I594" i="4"/>
  <c r="J594" i="4" s="1"/>
  <c r="I586" i="4"/>
  <c r="J586" i="4" s="1"/>
  <c r="I570" i="4"/>
  <c r="J570" i="4" s="1"/>
  <c r="I562" i="4"/>
  <c r="J562" i="4" s="1"/>
  <c r="I554" i="4"/>
  <c r="J554" i="4" s="1"/>
  <c r="I546" i="4"/>
  <c r="J546" i="4" s="1"/>
  <c r="I538" i="4"/>
  <c r="J538" i="4" s="1"/>
  <c r="I530" i="4"/>
  <c r="J530" i="4" s="1"/>
  <c r="I522" i="4"/>
  <c r="J522" i="4" s="1"/>
  <c r="I514" i="4"/>
  <c r="J514" i="4" s="1"/>
  <c r="I506" i="4"/>
  <c r="J506" i="4" s="1"/>
  <c r="I498" i="4"/>
  <c r="J498" i="4" s="1"/>
  <c r="I490" i="4"/>
  <c r="J490" i="4" s="1"/>
  <c r="I482" i="4"/>
  <c r="J482" i="4" s="1"/>
  <c r="I474" i="4"/>
  <c r="J474" i="4" s="1"/>
  <c r="I466" i="4"/>
  <c r="J466" i="4" s="1"/>
  <c r="I458" i="4"/>
  <c r="J458" i="4" s="1"/>
  <c r="I450" i="4"/>
  <c r="J450" i="4" s="1"/>
  <c r="I442" i="4"/>
  <c r="J442" i="4" s="1"/>
  <c r="I434" i="4"/>
  <c r="J434" i="4" s="1"/>
  <c r="I426" i="4"/>
  <c r="J426" i="4" s="1"/>
  <c r="I418" i="4"/>
  <c r="J418" i="4" s="1"/>
  <c r="I410" i="4"/>
  <c r="J410" i="4" s="1"/>
  <c r="I402" i="4"/>
  <c r="J402" i="4" s="1"/>
  <c r="I394" i="4"/>
  <c r="J394" i="4" s="1"/>
  <c r="I386" i="4"/>
  <c r="J386" i="4" s="1"/>
  <c r="I378" i="4"/>
  <c r="J378" i="4" s="1"/>
  <c r="I370" i="4"/>
  <c r="J370" i="4" s="1"/>
  <c r="I362" i="4"/>
  <c r="J362" i="4" s="1"/>
  <c r="I354" i="4"/>
  <c r="J354" i="4" s="1"/>
  <c r="I346" i="4"/>
  <c r="J346" i="4" s="1"/>
  <c r="I338" i="4"/>
  <c r="J338" i="4" s="1"/>
  <c r="I330" i="4"/>
  <c r="J330" i="4" s="1"/>
  <c r="I322" i="4"/>
  <c r="J322" i="4" s="1"/>
  <c r="I314" i="4"/>
  <c r="J314" i="4" s="1"/>
  <c r="I306" i="4"/>
  <c r="J306" i="4" s="1"/>
  <c r="I298" i="4"/>
  <c r="J298" i="4" s="1"/>
  <c r="I290" i="4"/>
  <c r="J290" i="4" s="1"/>
  <c r="I282" i="4"/>
  <c r="J282" i="4" s="1"/>
  <c r="I274" i="4"/>
  <c r="J274" i="4" s="1"/>
  <c r="I266" i="4"/>
  <c r="J266" i="4" s="1"/>
  <c r="I258" i="4"/>
  <c r="J258" i="4" s="1"/>
  <c r="I250" i="4"/>
  <c r="J250" i="4" s="1"/>
  <c r="I242" i="4"/>
  <c r="J242" i="4" s="1"/>
  <c r="I234" i="4"/>
  <c r="J234" i="4" s="1"/>
  <c r="I226" i="4"/>
  <c r="J226" i="4" s="1"/>
  <c r="I218" i="4"/>
  <c r="J218" i="4" s="1"/>
  <c r="I210" i="4"/>
  <c r="J210" i="4" s="1"/>
  <c r="I202" i="4"/>
  <c r="J202" i="4" s="1"/>
  <c r="I194" i="4"/>
  <c r="J194" i="4" s="1"/>
  <c r="I186" i="4"/>
  <c r="J186" i="4" s="1"/>
  <c r="I178" i="4"/>
  <c r="J178" i="4" s="1"/>
  <c r="I170" i="4"/>
  <c r="J170" i="4" s="1"/>
  <c r="I162" i="4"/>
  <c r="J162" i="4" s="1"/>
  <c r="I154" i="4"/>
  <c r="J154" i="4" s="1"/>
  <c r="I146" i="4"/>
  <c r="J146" i="4" s="1"/>
  <c r="I138" i="4"/>
  <c r="J138" i="4" s="1"/>
  <c r="I130" i="4"/>
  <c r="J130" i="4" s="1"/>
  <c r="I122" i="4"/>
  <c r="J122" i="4" s="1"/>
  <c r="I114" i="4"/>
  <c r="J114" i="4" s="1"/>
  <c r="I106" i="4"/>
  <c r="J106" i="4" s="1"/>
  <c r="I98" i="4"/>
  <c r="J98" i="4" s="1"/>
  <c r="I90" i="4"/>
  <c r="J90" i="4" s="1"/>
  <c r="I82" i="4"/>
  <c r="J82" i="4" s="1"/>
  <c r="I597" i="4"/>
  <c r="J597" i="4" s="1"/>
  <c r="I557" i="4"/>
  <c r="J557" i="4" s="1"/>
  <c r="I533" i="4"/>
  <c r="J533" i="4" s="1"/>
  <c r="I485" i="4"/>
  <c r="J485" i="4" s="1"/>
  <c r="I445" i="4"/>
  <c r="J445" i="4" s="1"/>
  <c r="I748" i="4"/>
  <c r="J748" i="4" s="1"/>
  <c r="I708" i="4"/>
  <c r="J708" i="4" s="1"/>
  <c r="I668" i="4"/>
  <c r="J668" i="4" s="1"/>
  <c r="I628" i="4"/>
  <c r="J628" i="4" s="1"/>
  <c r="I596" i="4"/>
  <c r="J596" i="4" s="1"/>
  <c r="I564" i="4"/>
  <c r="J564" i="4" s="1"/>
  <c r="I548" i="4"/>
  <c r="J548" i="4" s="1"/>
  <c r="I524" i="4"/>
  <c r="J524" i="4" s="1"/>
  <c r="I500" i="4"/>
  <c r="J500" i="4" s="1"/>
  <c r="I476" i="4"/>
  <c r="J476" i="4" s="1"/>
  <c r="I452" i="4"/>
  <c r="J452" i="4" s="1"/>
  <c r="I436" i="4"/>
  <c r="J436" i="4" s="1"/>
  <c r="I412" i="4"/>
  <c r="J412" i="4" s="1"/>
  <c r="I754" i="4"/>
  <c r="J754" i="4" s="1"/>
  <c r="I738" i="4"/>
  <c r="J738" i="4" s="1"/>
  <c r="I722" i="4"/>
  <c r="J722" i="4" s="1"/>
  <c r="I706" i="4"/>
  <c r="J706" i="4" s="1"/>
  <c r="I690" i="4"/>
  <c r="J690" i="4" s="1"/>
  <c r="I682" i="4"/>
  <c r="J682" i="4" s="1"/>
  <c r="I666" i="4"/>
  <c r="J666" i="4" s="1"/>
  <c r="I650" i="4"/>
  <c r="J650" i="4" s="1"/>
  <c r="I634" i="4"/>
  <c r="J634" i="4" s="1"/>
  <c r="I618" i="4"/>
  <c r="J618" i="4" s="1"/>
  <c r="I602" i="4"/>
  <c r="J602" i="4" s="1"/>
  <c r="I578" i="4"/>
  <c r="J578" i="4" s="1"/>
  <c r="I753" i="4"/>
  <c r="J753" i="4" s="1"/>
  <c r="I745" i="4"/>
  <c r="J745" i="4" s="1"/>
  <c r="I737" i="4"/>
  <c r="J737" i="4" s="1"/>
  <c r="I729" i="4"/>
  <c r="J729" i="4" s="1"/>
  <c r="I721" i="4"/>
  <c r="J721" i="4" s="1"/>
  <c r="I713" i="4"/>
  <c r="J713" i="4" s="1"/>
  <c r="I705" i="4"/>
  <c r="J705" i="4" s="1"/>
  <c r="I697" i="4"/>
  <c r="J697" i="4" s="1"/>
  <c r="I689" i="4"/>
  <c r="J689" i="4" s="1"/>
  <c r="I681" i="4"/>
  <c r="J681" i="4" s="1"/>
  <c r="I673" i="4"/>
  <c r="J673" i="4" s="1"/>
  <c r="I665" i="4"/>
  <c r="J665" i="4" s="1"/>
  <c r="I657" i="4"/>
  <c r="J657" i="4" s="1"/>
  <c r="I649" i="4"/>
  <c r="J649" i="4" s="1"/>
  <c r="I641" i="4"/>
  <c r="J641" i="4" s="1"/>
  <c r="I633" i="4"/>
  <c r="J633" i="4" s="1"/>
  <c r="I625" i="4"/>
  <c r="J625" i="4" s="1"/>
  <c r="I617" i="4"/>
  <c r="J617" i="4" s="1"/>
  <c r="I609" i="4"/>
  <c r="J609" i="4" s="1"/>
  <c r="I601" i="4"/>
  <c r="J601" i="4" s="1"/>
  <c r="I593" i="4"/>
  <c r="J593" i="4" s="1"/>
  <c r="I585" i="4"/>
  <c r="J585" i="4" s="1"/>
  <c r="I577" i="4"/>
  <c r="J577" i="4" s="1"/>
  <c r="I569" i="4"/>
  <c r="J569" i="4" s="1"/>
  <c r="I561" i="4"/>
  <c r="J561" i="4" s="1"/>
  <c r="I553" i="4"/>
  <c r="J553" i="4" s="1"/>
  <c r="I545" i="4"/>
  <c r="J545" i="4" s="1"/>
  <c r="I537" i="4"/>
  <c r="J537" i="4" s="1"/>
  <c r="I529" i="4"/>
  <c r="J529" i="4" s="1"/>
  <c r="I521" i="4"/>
  <c r="J521" i="4" s="1"/>
  <c r="I513" i="4"/>
  <c r="J513" i="4" s="1"/>
  <c r="I505" i="4"/>
  <c r="J505" i="4" s="1"/>
  <c r="I497" i="4"/>
  <c r="J497" i="4" s="1"/>
  <c r="I489" i="4"/>
  <c r="J489" i="4" s="1"/>
  <c r="I481" i="4"/>
  <c r="J481" i="4" s="1"/>
  <c r="I473" i="4"/>
  <c r="J473" i="4" s="1"/>
  <c r="I465" i="4"/>
  <c r="J465" i="4" s="1"/>
  <c r="I457" i="4"/>
  <c r="J457" i="4" s="1"/>
  <c r="I449" i="4"/>
  <c r="J449" i="4" s="1"/>
  <c r="I441" i="4"/>
  <c r="J441" i="4" s="1"/>
  <c r="I433" i="4"/>
  <c r="J433" i="4" s="1"/>
  <c r="I425" i="4"/>
  <c r="J425" i="4" s="1"/>
  <c r="I417" i="4"/>
  <c r="J417" i="4" s="1"/>
  <c r="I409" i="4"/>
  <c r="J409" i="4" s="1"/>
  <c r="I401" i="4"/>
  <c r="J401" i="4" s="1"/>
  <c r="I385" i="4"/>
  <c r="J385" i="4" s="1"/>
  <c r="I369" i="4"/>
  <c r="J369" i="4" s="1"/>
  <c r="I305" i="4"/>
  <c r="J305" i="4" s="1"/>
  <c r="I637" i="4"/>
  <c r="J637" i="4" s="1"/>
  <c r="I581" i="4"/>
  <c r="J581" i="4" s="1"/>
  <c r="I517" i="4"/>
  <c r="J517" i="4" s="1"/>
  <c r="I469" i="4"/>
  <c r="J469" i="4" s="1"/>
  <c r="I421" i="4"/>
  <c r="J421" i="4" s="1"/>
  <c r="I732" i="4"/>
  <c r="J732" i="4" s="1"/>
  <c r="I684" i="4"/>
  <c r="J684" i="4" s="1"/>
  <c r="I636" i="4"/>
  <c r="J636" i="4" s="1"/>
  <c r="I736" i="4"/>
  <c r="J736" i="4" s="1"/>
  <c r="I728" i="4"/>
  <c r="J728" i="4" s="1"/>
  <c r="I712" i="4"/>
  <c r="J712" i="4" s="1"/>
  <c r="I696" i="4"/>
  <c r="J696" i="4" s="1"/>
  <c r="I680" i="4"/>
  <c r="J680" i="4" s="1"/>
  <c r="I664" i="4"/>
  <c r="J664" i="4" s="1"/>
  <c r="I648" i="4"/>
  <c r="J648" i="4" s="1"/>
  <c r="I632" i="4"/>
  <c r="J632" i="4" s="1"/>
  <c r="I616" i="4"/>
  <c r="J616" i="4" s="1"/>
  <c r="I600" i="4"/>
  <c r="J600" i="4" s="1"/>
  <c r="I584" i="4"/>
  <c r="J584" i="4" s="1"/>
  <c r="I568" i="4"/>
  <c r="J568" i="4" s="1"/>
  <c r="I552" i="4"/>
  <c r="J552" i="4" s="1"/>
  <c r="I544" i="4"/>
  <c r="J544" i="4" s="1"/>
  <c r="I536" i="4"/>
  <c r="J536" i="4" s="1"/>
  <c r="I528" i="4"/>
  <c r="J528" i="4" s="1"/>
  <c r="I520" i="4"/>
  <c r="J520" i="4" s="1"/>
  <c r="I512" i="4"/>
  <c r="J512" i="4" s="1"/>
  <c r="I504" i="4"/>
  <c r="J504" i="4" s="1"/>
  <c r="I496" i="4"/>
  <c r="J496" i="4" s="1"/>
  <c r="I488" i="4"/>
  <c r="J488" i="4" s="1"/>
  <c r="I480" i="4"/>
  <c r="J480" i="4" s="1"/>
  <c r="I472" i="4"/>
  <c r="J472" i="4" s="1"/>
  <c r="I464" i="4"/>
  <c r="J464" i="4" s="1"/>
  <c r="I456" i="4"/>
  <c r="J456" i="4" s="1"/>
  <c r="I448" i="4"/>
  <c r="J448" i="4" s="1"/>
  <c r="I440" i="4"/>
  <c r="J440" i="4" s="1"/>
  <c r="I432" i="4"/>
  <c r="J432" i="4" s="1"/>
  <c r="I424" i="4"/>
  <c r="J424" i="4" s="1"/>
  <c r="I416" i="4"/>
  <c r="J416" i="4" s="1"/>
  <c r="I408" i="4"/>
  <c r="J408" i="4" s="1"/>
  <c r="I400" i="4"/>
  <c r="J400" i="4" s="1"/>
  <c r="I392" i="4"/>
  <c r="J392" i="4" s="1"/>
  <c r="I384" i="4"/>
  <c r="J384" i="4" s="1"/>
  <c r="I376" i="4"/>
  <c r="J376" i="4" s="1"/>
  <c r="I368" i="4"/>
  <c r="J368" i="4" s="1"/>
  <c r="I360" i="4"/>
  <c r="J360" i="4" s="1"/>
  <c r="I352" i="4"/>
  <c r="J352" i="4" s="1"/>
  <c r="I344" i="4"/>
  <c r="J344" i="4" s="1"/>
  <c r="I336" i="4"/>
  <c r="J336" i="4" s="1"/>
  <c r="I328" i="4"/>
  <c r="J328" i="4" s="1"/>
  <c r="I320" i="4"/>
  <c r="J320" i="4" s="1"/>
  <c r="I312" i="4"/>
  <c r="J312" i="4" s="1"/>
  <c r="I304" i="4"/>
  <c r="J304" i="4" s="1"/>
  <c r="I296" i="4"/>
  <c r="J296" i="4" s="1"/>
  <c r="I288" i="4"/>
  <c r="J288" i="4" s="1"/>
  <c r="I280" i="4"/>
  <c r="J280" i="4" s="1"/>
  <c r="I272" i="4"/>
  <c r="J272" i="4" s="1"/>
  <c r="I264" i="4"/>
  <c r="J264" i="4" s="1"/>
  <c r="I256" i="4"/>
  <c r="J256" i="4" s="1"/>
  <c r="I248" i="4"/>
  <c r="J248" i="4" s="1"/>
  <c r="I240" i="4"/>
  <c r="J240" i="4" s="1"/>
  <c r="I232" i="4"/>
  <c r="J232" i="4" s="1"/>
  <c r="I224" i="4"/>
  <c r="J224" i="4" s="1"/>
  <c r="I216" i="4"/>
  <c r="J216" i="4" s="1"/>
  <c r="I208" i="4"/>
  <c r="J208" i="4" s="1"/>
  <c r="I200" i="4"/>
  <c r="J200" i="4" s="1"/>
  <c r="I192" i="4"/>
  <c r="J192" i="4" s="1"/>
  <c r="I184" i="4"/>
  <c r="J184" i="4" s="1"/>
  <c r="I176" i="4"/>
  <c r="J176" i="4" s="1"/>
  <c r="I168" i="4"/>
  <c r="J168" i="4" s="1"/>
  <c r="I160" i="4"/>
  <c r="J160" i="4" s="1"/>
  <c r="I152" i="4"/>
  <c r="J152" i="4" s="1"/>
  <c r="I144" i="4"/>
  <c r="J144" i="4" s="1"/>
  <c r="I136" i="4"/>
  <c r="J136" i="4" s="1"/>
  <c r="I128" i="4"/>
  <c r="J128" i="4" s="1"/>
  <c r="I120" i="4"/>
  <c r="J120" i="4" s="1"/>
  <c r="I112" i="4"/>
  <c r="J112" i="4" s="1"/>
  <c r="I104" i="4"/>
  <c r="J104" i="4" s="1"/>
  <c r="I96" i="4"/>
  <c r="J96" i="4" s="1"/>
  <c r="I88" i="4"/>
  <c r="J88" i="4" s="1"/>
  <c r="I80" i="4"/>
  <c r="J80" i="4" s="1"/>
  <c r="I629" i="4"/>
  <c r="J629" i="4" s="1"/>
  <c r="I573" i="4"/>
  <c r="J573" i="4" s="1"/>
  <c r="I525" i="4"/>
  <c r="J525" i="4" s="1"/>
  <c r="I477" i="4"/>
  <c r="J477" i="4" s="1"/>
  <c r="I437" i="4"/>
  <c r="J437" i="4" s="1"/>
  <c r="I740" i="4"/>
  <c r="J740" i="4" s="1"/>
  <c r="I692" i="4"/>
  <c r="J692" i="4" s="1"/>
  <c r="I644" i="4"/>
  <c r="J644" i="4" s="1"/>
  <c r="I752" i="4"/>
  <c r="J752" i="4" s="1"/>
  <c r="I744" i="4"/>
  <c r="J744" i="4" s="1"/>
  <c r="I720" i="4"/>
  <c r="J720" i="4" s="1"/>
  <c r="I704" i="4"/>
  <c r="J704" i="4" s="1"/>
  <c r="I688" i="4"/>
  <c r="J688" i="4" s="1"/>
  <c r="I672" i="4"/>
  <c r="J672" i="4" s="1"/>
  <c r="I656" i="4"/>
  <c r="J656" i="4" s="1"/>
  <c r="I640" i="4"/>
  <c r="J640" i="4" s="1"/>
  <c r="I624" i="4"/>
  <c r="J624" i="4" s="1"/>
  <c r="I608" i="4"/>
  <c r="J608" i="4" s="1"/>
  <c r="I592" i="4"/>
  <c r="J592" i="4" s="1"/>
  <c r="I576" i="4"/>
  <c r="J576" i="4" s="1"/>
  <c r="I560" i="4"/>
  <c r="J560" i="4" s="1"/>
  <c r="I751" i="4"/>
  <c r="J751" i="4" s="1"/>
  <c r="I743" i="4"/>
  <c r="J743" i="4" s="1"/>
  <c r="I735" i="4"/>
  <c r="J735" i="4" s="1"/>
  <c r="I727" i="4"/>
  <c r="J727" i="4" s="1"/>
  <c r="I719" i="4"/>
  <c r="J719" i="4" s="1"/>
  <c r="I711" i="4"/>
  <c r="J711" i="4" s="1"/>
  <c r="I703" i="4"/>
  <c r="J703" i="4" s="1"/>
  <c r="I695" i="4"/>
  <c r="J695" i="4" s="1"/>
  <c r="I687" i="4"/>
  <c r="J687" i="4" s="1"/>
  <c r="I679" i="4"/>
  <c r="J679" i="4" s="1"/>
  <c r="I671" i="4"/>
  <c r="J671" i="4" s="1"/>
  <c r="I663" i="4"/>
  <c r="J663" i="4" s="1"/>
  <c r="I655" i="4"/>
  <c r="J655" i="4" s="1"/>
  <c r="I647" i="4"/>
  <c r="J647" i="4" s="1"/>
  <c r="I639" i="4"/>
  <c r="J639" i="4" s="1"/>
  <c r="I631" i="4"/>
  <c r="J631" i="4" s="1"/>
  <c r="I623" i="4"/>
  <c r="J623" i="4" s="1"/>
  <c r="I615" i="4"/>
  <c r="J615" i="4" s="1"/>
  <c r="I607" i="4"/>
  <c r="J607" i="4" s="1"/>
  <c r="I599" i="4"/>
  <c r="J599" i="4" s="1"/>
  <c r="I591" i="4"/>
  <c r="J591" i="4" s="1"/>
  <c r="I583" i="4"/>
  <c r="J583" i="4" s="1"/>
  <c r="I575" i="4"/>
  <c r="J575" i="4" s="1"/>
  <c r="I567" i="4"/>
  <c r="J567" i="4" s="1"/>
  <c r="I559" i="4"/>
  <c r="J559" i="4" s="1"/>
  <c r="I551" i="4"/>
  <c r="J551" i="4" s="1"/>
  <c r="I543" i="4"/>
  <c r="J543" i="4" s="1"/>
  <c r="I535" i="4"/>
  <c r="J535" i="4" s="1"/>
  <c r="I527" i="4"/>
  <c r="J527" i="4" s="1"/>
  <c r="I519" i="4"/>
  <c r="J519" i="4" s="1"/>
  <c r="I511" i="4"/>
  <c r="J511" i="4" s="1"/>
  <c r="I503" i="4"/>
  <c r="J503" i="4" s="1"/>
  <c r="I495" i="4"/>
  <c r="J495" i="4" s="1"/>
  <c r="I487" i="4"/>
  <c r="J487" i="4" s="1"/>
  <c r="I479" i="4"/>
  <c r="J479" i="4" s="1"/>
  <c r="I471" i="4"/>
  <c r="J471" i="4" s="1"/>
  <c r="I463" i="4"/>
  <c r="J463" i="4" s="1"/>
  <c r="I455" i="4"/>
  <c r="J455" i="4" s="1"/>
  <c r="I447" i="4"/>
  <c r="J447" i="4" s="1"/>
  <c r="I439" i="4"/>
  <c r="J439" i="4" s="1"/>
  <c r="I431" i="4"/>
  <c r="J431" i="4" s="1"/>
  <c r="I423" i="4"/>
  <c r="J423" i="4" s="1"/>
  <c r="I750" i="4"/>
  <c r="J750" i="4" s="1"/>
  <c r="I742" i="4"/>
  <c r="J742" i="4" s="1"/>
  <c r="I734" i="4"/>
  <c r="J734" i="4" s="1"/>
  <c r="I726" i="4"/>
  <c r="J726" i="4" s="1"/>
  <c r="I718" i="4"/>
  <c r="J718" i="4" s="1"/>
  <c r="I710" i="4"/>
  <c r="J710" i="4" s="1"/>
  <c r="I702" i="4"/>
  <c r="J702" i="4" s="1"/>
  <c r="I694" i="4"/>
  <c r="J694" i="4" s="1"/>
  <c r="I686" i="4"/>
  <c r="J686" i="4" s="1"/>
  <c r="I678" i="4"/>
  <c r="J678" i="4" s="1"/>
  <c r="I670" i="4"/>
  <c r="J670" i="4" s="1"/>
  <c r="I662" i="4"/>
  <c r="J662" i="4" s="1"/>
  <c r="I654" i="4"/>
  <c r="J654" i="4" s="1"/>
  <c r="I646" i="4"/>
  <c r="J646" i="4" s="1"/>
  <c r="I638" i="4"/>
  <c r="J638" i="4" s="1"/>
  <c r="I630" i="4"/>
  <c r="J630" i="4" s="1"/>
  <c r="I622" i="4"/>
  <c r="J622" i="4" s="1"/>
  <c r="I614" i="4"/>
  <c r="J614" i="4" s="1"/>
  <c r="I606" i="4"/>
  <c r="J606" i="4" s="1"/>
  <c r="I598" i="4"/>
  <c r="J598" i="4" s="1"/>
  <c r="I590" i="4"/>
  <c r="J590" i="4" s="1"/>
  <c r="I582" i="4"/>
  <c r="J582" i="4" s="1"/>
  <c r="I574" i="4"/>
  <c r="J574" i="4" s="1"/>
  <c r="I566" i="4"/>
  <c r="J566" i="4" s="1"/>
  <c r="I558" i="4"/>
  <c r="J558" i="4" s="1"/>
  <c r="I550" i="4"/>
  <c r="J550" i="4" s="1"/>
  <c r="I542" i="4"/>
  <c r="J542" i="4" s="1"/>
  <c r="I534" i="4"/>
  <c r="J534" i="4" s="1"/>
  <c r="I526" i="4"/>
  <c r="J526" i="4" s="1"/>
  <c r="I518" i="4"/>
  <c r="J518" i="4" s="1"/>
  <c r="I510" i="4"/>
  <c r="J510" i="4" s="1"/>
  <c r="I502" i="4"/>
  <c r="J502" i="4" s="1"/>
  <c r="I494" i="4"/>
  <c r="J494" i="4" s="1"/>
  <c r="I486" i="4"/>
  <c r="J486" i="4" s="1"/>
  <c r="I478" i="4"/>
  <c r="J478" i="4" s="1"/>
  <c r="I470" i="4"/>
  <c r="J470" i="4" s="1"/>
  <c r="I462" i="4"/>
  <c r="J462" i="4" s="1"/>
  <c r="I454" i="4"/>
  <c r="J454" i="4" s="1"/>
  <c r="I446" i="4"/>
  <c r="J446" i="4" s="1"/>
  <c r="I438" i="4"/>
  <c r="J438" i="4" s="1"/>
  <c r="I430" i="4"/>
  <c r="J430" i="4" s="1"/>
  <c r="I422" i="4"/>
  <c r="J422" i="4" s="1"/>
  <c r="I414" i="4"/>
  <c r="J414" i="4" s="1"/>
  <c r="I406" i="4"/>
  <c r="J406" i="4" s="1"/>
  <c r="I398" i="4"/>
  <c r="J398" i="4" s="1"/>
  <c r="I390" i="4"/>
  <c r="J390" i="4" s="1"/>
  <c r="I382" i="4"/>
  <c r="J382" i="4" s="1"/>
  <c r="I374" i="4"/>
  <c r="J374" i="4" s="1"/>
  <c r="I366" i="4"/>
  <c r="J366" i="4" s="1"/>
  <c r="I358" i="4"/>
  <c r="J358" i="4" s="1"/>
  <c r="I350" i="4"/>
  <c r="J350" i="4" s="1"/>
  <c r="I342" i="4"/>
  <c r="J342" i="4" s="1"/>
  <c r="I334" i="4"/>
  <c r="J334" i="4" s="1"/>
  <c r="I326" i="4"/>
  <c r="J326" i="4" s="1"/>
  <c r="I318" i="4"/>
  <c r="J318" i="4" s="1"/>
  <c r="I310" i="4"/>
  <c r="J310" i="4" s="1"/>
  <c r="I302" i="4"/>
  <c r="J302" i="4" s="1"/>
  <c r="I294" i="4"/>
  <c r="J294" i="4" s="1"/>
  <c r="I286" i="4"/>
  <c r="J286" i="4" s="1"/>
  <c r="I278" i="4"/>
  <c r="J278" i="4" s="1"/>
  <c r="I270" i="4"/>
  <c r="J270" i="4" s="1"/>
  <c r="I262" i="4"/>
  <c r="J262" i="4" s="1"/>
  <c r="I254" i="4"/>
  <c r="J254" i="4" s="1"/>
  <c r="I246" i="4"/>
  <c r="J246" i="4" s="1"/>
  <c r="I238" i="4"/>
  <c r="J238" i="4" s="1"/>
  <c r="I230" i="4"/>
  <c r="J230" i="4" s="1"/>
  <c r="I222" i="4"/>
  <c r="J222" i="4" s="1"/>
  <c r="I214" i="4"/>
  <c r="J214" i="4" s="1"/>
  <c r="I206" i="4"/>
  <c r="J206" i="4" s="1"/>
  <c r="I198" i="4"/>
  <c r="J198" i="4" s="1"/>
  <c r="I190" i="4"/>
  <c r="J190" i="4" s="1"/>
  <c r="I182" i="4"/>
  <c r="J182" i="4" s="1"/>
  <c r="I174" i="4"/>
  <c r="J174" i="4" s="1"/>
  <c r="I166" i="4"/>
  <c r="J166" i="4" s="1"/>
  <c r="I158" i="4"/>
  <c r="J158" i="4" s="1"/>
  <c r="I150" i="4"/>
  <c r="J150" i="4" s="1"/>
  <c r="I142" i="4"/>
  <c r="J142" i="4" s="1"/>
  <c r="I134" i="4"/>
  <c r="J134" i="4" s="1"/>
  <c r="I126" i="4"/>
  <c r="J126" i="4" s="1"/>
  <c r="I118" i="4"/>
  <c r="J118" i="4" s="1"/>
  <c r="I110" i="4"/>
  <c r="J110" i="4" s="1"/>
  <c r="I102" i="4"/>
  <c r="J102" i="4" s="1"/>
  <c r="I94" i="4"/>
  <c r="J94" i="4" s="1"/>
  <c r="I86" i="4"/>
  <c r="J86" i="4" s="1"/>
  <c r="I78" i="4"/>
  <c r="J78" i="4" s="1"/>
  <c r="I108" i="4"/>
  <c r="J108" i="4" s="1"/>
  <c r="I100" i="4"/>
  <c r="J100" i="4" s="1"/>
  <c r="I92" i="4"/>
  <c r="J92" i="4" s="1"/>
  <c r="I84" i="4"/>
  <c r="J84" i="4" s="1"/>
  <c r="I76" i="4"/>
  <c r="J76" i="4" s="1"/>
  <c r="I68" i="4"/>
  <c r="J68" i="4" s="1"/>
  <c r="I443" i="4"/>
  <c r="J443" i="4" s="1"/>
  <c r="I427" i="4"/>
  <c r="J427" i="4" s="1"/>
  <c r="I411" i="4"/>
  <c r="J411" i="4" s="1"/>
  <c r="I395" i="4"/>
  <c r="J395" i="4" s="1"/>
  <c r="I379" i="4"/>
  <c r="J379" i="4" s="1"/>
  <c r="I371" i="4"/>
  <c r="J371" i="4" s="1"/>
  <c r="I363" i="4"/>
  <c r="J363" i="4" s="1"/>
  <c r="I355" i="4"/>
  <c r="J355" i="4" s="1"/>
  <c r="I347" i="4"/>
  <c r="J347" i="4" s="1"/>
  <c r="I339" i="4"/>
  <c r="J339" i="4" s="1"/>
  <c r="I331" i="4"/>
  <c r="J331" i="4" s="1"/>
  <c r="I315" i="4"/>
  <c r="J315" i="4" s="1"/>
  <c r="I307" i="4"/>
  <c r="J307" i="4" s="1"/>
  <c r="I299" i="4"/>
  <c r="J299" i="4" s="1"/>
  <c r="I291" i="4"/>
  <c r="J291" i="4" s="1"/>
  <c r="I283" i="4"/>
  <c r="J283" i="4" s="1"/>
  <c r="I275" i="4"/>
  <c r="J275" i="4" s="1"/>
  <c r="I267" i="4"/>
  <c r="J267" i="4" s="1"/>
  <c r="I259" i="4"/>
  <c r="J259" i="4" s="1"/>
  <c r="I251" i="4"/>
  <c r="J251" i="4" s="1"/>
  <c r="I243" i="4"/>
  <c r="J243" i="4" s="1"/>
  <c r="I235" i="4"/>
  <c r="J235" i="4" s="1"/>
  <c r="I227" i="4"/>
  <c r="J227" i="4" s="1"/>
  <c r="I219" i="4"/>
  <c r="J219" i="4" s="1"/>
  <c r="I211" i="4"/>
  <c r="J211" i="4" s="1"/>
  <c r="I203" i="4"/>
  <c r="J203" i="4" s="1"/>
  <c r="I195" i="4"/>
  <c r="J195" i="4" s="1"/>
  <c r="I187" i="4"/>
  <c r="J187" i="4" s="1"/>
  <c r="I179" i="4"/>
  <c r="J179" i="4" s="1"/>
  <c r="I171" i="4"/>
  <c r="J171" i="4" s="1"/>
  <c r="I163" i="4"/>
  <c r="J163" i="4" s="1"/>
  <c r="I155" i="4"/>
  <c r="J155" i="4" s="1"/>
  <c r="I147" i="4"/>
  <c r="J147" i="4" s="1"/>
  <c r="I139" i="4"/>
  <c r="J139" i="4" s="1"/>
  <c r="I131" i="4"/>
  <c r="J131" i="4" s="1"/>
  <c r="I123" i="4"/>
  <c r="J123" i="4" s="1"/>
  <c r="I115" i="4"/>
  <c r="J115" i="4" s="1"/>
  <c r="I107" i="4"/>
  <c r="J107" i="4" s="1"/>
  <c r="I99" i="4"/>
  <c r="J99" i="4" s="1"/>
  <c r="I91" i="4"/>
  <c r="J91" i="4" s="1"/>
  <c r="I83" i="4"/>
  <c r="J83" i="4" s="1"/>
  <c r="I75" i="4"/>
  <c r="J75" i="4" s="1"/>
  <c r="I67" i="4"/>
  <c r="J67" i="4" s="1"/>
  <c r="I74" i="4"/>
  <c r="J74" i="4" s="1"/>
  <c r="I66" i="4"/>
  <c r="J66" i="4" s="1"/>
  <c r="I393" i="4"/>
  <c r="J393" i="4" s="1"/>
  <c r="I377" i="4"/>
  <c r="J377" i="4" s="1"/>
  <c r="I361" i="4"/>
  <c r="J361" i="4" s="1"/>
  <c r="I353" i="4"/>
  <c r="J353" i="4" s="1"/>
  <c r="I345" i="4"/>
  <c r="J345" i="4" s="1"/>
  <c r="I337" i="4"/>
  <c r="J337" i="4" s="1"/>
  <c r="I329" i="4"/>
  <c r="J329" i="4" s="1"/>
  <c r="I321" i="4"/>
  <c r="J321" i="4" s="1"/>
  <c r="I313" i="4"/>
  <c r="J313" i="4" s="1"/>
  <c r="I297" i="4"/>
  <c r="J297" i="4" s="1"/>
  <c r="I289" i="4"/>
  <c r="J289" i="4" s="1"/>
  <c r="I281" i="4"/>
  <c r="J281" i="4" s="1"/>
  <c r="I273" i="4"/>
  <c r="J273" i="4" s="1"/>
  <c r="I265" i="4"/>
  <c r="J265" i="4" s="1"/>
  <c r="I257" i="4"/>
  <c r="J257" i="4" s="1"/>
  <c r="I249" i="4"/>
  <c r="J249" i="4" s="1"/>
  <c r="I241" i="4"/>
  <c r="J241" i="4" s="1"/>
  <c r="I233" i="4"/>
  <c r="J233" i="4" s="1"/>
  <c r="I225" i="4"/>
  <c r="J225" i="4" s="1"/>
  <c r="I217" i="4"/>
  <c r="J217" i="4" s="1"/>
  <c r="I209" i="4"/>
  <c r="J209" i="4" s="1"/>
  <c r="I201" i="4"/>
  <c r="J201" i="4" s="1"/>
  <c r="I193" i="4"/>
  <c r="J193" i="4" s="1"/>
  <c r="I185" i="4"/>
  <c r="J185" i="4" s="1"/>
  <c r="I177" i="4"/>
  <c r="J177" i="4" s="1"/>
  <c r="I169" i="4"/>
  <c r="J169" i="4" s="1"/>
  <c r="I161" i="4"/>
  <c r="J161" i="4" s="1"/>
  <c r="I153" i="4"/>
  <c r="J153" i="4" s="1"/>
  <c r="I145" i="4"/>
  <c r="J145" i="4" s="1"/>
  <c r="I137" i="4"/>
  <c r="J137" i="4" s="1"/>
  <c r="I129" i="4"/>
  <c r="J129" i="4" s="1"/>
  <c r="I121" i="4"/>
  <c r="J121" i="4" s="1"/>
  <c r="I113" i="4"/>
  <c r="J113" i="4" s="1"/>
  <c r="I105" i="4"/>
  <c r="J105" i="4" s="1"/>
  <c r="I97" i="4"/>
  <c r="J97" i="4" s="1"/>
  <c r="I89" i="4"/>
  <c r="J89" i="4" s="1"/>
  <c r="I81" i="4"/>
  <c r="J81" i="4" s="1"/>
  <c r="I73" i="4"/>
  <c r="J73" i="4" s="1"/>
  <c r="I65" i="4"/>
  <c r="J65" i="4" s="1"/>
  <c r="I72" i="4"/>
  <c r="J72" i="4" s="1"/>
  <c r="I64" i="4"/>
  <c r="J64" i="4" s="1"/>
  <c r="I415" i="4"/>
  <c r="J415" i="4" s="1"/>
  <c r="I407" i="4"/>
  <c r="J407" i="4" s="1"/>
  <c r="I399" i="4"/>
  <c r="J399" i="4" s="1"/>
  <c r="I391" i="4"/>
  <c r="J391" i="4" s="1"/>
  <c r="I383" i="4"/>
  <c r="J383" i="4" s="1"/>
  <c r="I375" i="4"/>
  <c r="J375" i="4" s="1"/>
  <c r="I367" i="4"/>
  <c r="J367" i="4" s="1"/>
  <c r="I359" i="4"/>
  <c r="J359" i="4" s="1"/>
  <c r="I351" i="4"/>
  <c r="J351" i="4" s="1"/>
  <c r="I343" i="4"/>
  <c r="J343" i="4" s="1"/>
  <c r="I335" i="4"/>
  <c r="J335" i="4" s="1"/>
  <c r="I327" i="4"/>
  <c r="J327" i="4" s="1"/>
  <c r="I319" i="4"/>
  <c r="J319" i="4" s="1"/>
  <c r="I311" i="4"/>
  <c r="J311" i="4" s="1"/>
  <c r="I303" i="4"/>
  <c r="J303" i="4" s="1"/>
  <c r="I295" i="4"/>
  <c r="J295" i="4" s="1"/>
  <c r="I287" i="4"/>
  <c r="J287" i="4" s="1"/>
  <c r="I279" i="4"/>
  <c r="J279" i="4" s="1"/>
  <c r="I271" i="4"/>
  <c r="J271" i="4" s="1"/>
  <c r="I263" i="4"/>
  <c r="J263" i="4" s="1"/>
  <c r="I255" i="4"/>
  <c r="J255" i="4" s="1"/>
  <c r="I247" i="4"/>
  <c r="J247" i="4" s="1"/>
  <c r="I239" i="4"/>
  <c r="J239" i="4" s="1"/>
  <c r="I231" i="4"/>
  <c r="J231" i="4" s="1"/>
  <c r="I223" i="4"/>
  <c r="J223" i="4" s="1"/>
  <c r="I215" i="4"/>
  <c r="J215" i="4" s="1"/>
  <c r="I207" i="4"/>
  <c r="J207" i="4" s="1"/>
  <c r="I199" i="4"/>
  <c r="J199" i="4" s="1"/>
  <c r="I191" i="4"/>
  <c r="J191" i="4" s="1"/>
  <c r="I183" i="4"/>
  <c r="J183" i="4" s="1"/>
  <c r="I175" i="4"/>
  <c r="J175" i="4" s="1"/>
  <c r="I167" i="4"/>
  <c r="J167" i="4" s="1"/>
  <c r="I159" i="4"/>
  <c r="J159" i="4" s="1"/>
  <c r="I151" i="4"/>
  <c r="J151" i="4" s="1"/>
  <c r="I143" i="4"/>
  <c r="J143" i="4" s="1"/>
  <c r="I135" i="4"/>
  <c r="J135" i="4" s="1"/>
  <c r="I127" i="4"/>
  <c r="J127" i="4" s="1"/>
  <c r="I119" i="4"/>
  <c r="J119" i="4" s="1"/>
  <c r="I111" i="4"/>
  <c r="J111" i="4" s="1"/>
  <c r="I103" i="4"/>
  <c r="J103" i="4" s="1"/>
  <c r="I95" i="4"/>
  <c r="J95" i="4" s="1"/>
  <c r="I87" i="4"/>
  <c r="J87" i="4" s="1"/>
  <c r="I79" i="4"/>
  <c r="J79" i="4" s="1"/>
  <c r="I71" i="4"/>
  <c r="J71" i="4" s="1"/>
  <c r="I63" i="4"/>
  <c r="J63" i="4" s="1"/>
  <c r="I70" i="4"/>
  <c r="J70" i="4" s="1"/>
  <c r="I413" i="4"/>
  <c r="J413" i="4" s="1"/>
  <c r="I397" i="4"/>
  <c r="J397" i="4" s="1"/>
  <c r="I381" i="4"/>
  <c r="J381" i="4" s="1"/>
  <c r="I373" i="4"/>
  <c r="J373" i="4" s="1"/>
  <c r="I365" i="4"/>
  <c r="J365" i="4" s="1"/>
  <c r="I357" i="4"/>
  <c r="J357" i="4" s="1"/>
  <c r="I349" i="4"/>
  <c r="J349" i="4" s="1"/>
  <c r="I333" i="4"/>
  <c r="J333" i="4" s="1"/>
  <c r="I325" i="4"/>
  <c r="J325" i="4" s="1"/>
  <c r="I317" i="4"/>
  <c r="J317" i="4" s="1"/>
  <c r="I309" i="4"/>
  <c r="J309" i="4" s="1"/>
  <c r="I301" i="4"/>
  <c r="J301" i="4" s="1"/>
  <c r="I293" i="4"/>
  <c r="J293" i="4" s="1"/>
  <c r="I285" i="4"/>
  <c r="J285" i="4" s="1"/>
  <c r="I277" i="4"/>
  <c r="J277" i="4" s="1"/>
  <c r="I269" i="4"/>
  <c r="J269" i="4" s="1"/>
  <c r="I261" i="4"/>
  <c r="J261" i="4" s="1"/>
  <c r="I253" i="4"/>
  <c r="J253" i="4" s="1"/>
  <c r="I245" i="4"/>
  <c r="J245" i="4" s="1"/>
  <c r="I237" i="4"/>
  <c r="J237" i="4" s="1"/>
  <c r="I229" i="4"/>
  <c r="J229" i="4" s="1"/>
  <c r="I221" i="4"/>
  <c r="J221" i="4" s="1"/>
  <c r="I213" i="4"/>
  <c r="J213" i="4" s="1"/>
  <c r="I205" i="4"/>
  <c r="J205" i="4" s="1"/>
  <c r="I197" i="4"/>
  <c r="J197" i="4" s="1"/>
  <c r="I189" i="4"/>
  <c r="J189" i="4" s="1"/>
  <c r="I181" i="4"/>
  <c r="J181" i="4" s="1"/>
  <c r="I173" i="4"/>
  <c r="J173" i="4" s="1"/>
  <c r="I165" i="4"/>
  <c r="J165" i="4" s="1"/>
  <c r="I157" i="4"/>
  <c r="J157" i="4" s="1"/>
  <c r="I149" i="4"/>
  <c r="J149" i="4" s="1"/>
  <c r="I141" i="4"/>
  <c r="J141" i="4" s="1"/>
  <c r="I133" i="4"/>
  <c r="J133" i="4" s="1"/>
  <c r="I125" i="4"/>
  <c r="J125" i="4" s="1"/>
  <c r="I117" i="4"/>
  <c r="J117" i="4" s="1"/>
  <c r="I109" i="4"/>
  <c r="J109" i="4" s="1"/>
  <c r="I101" i="4"/>
  <c r="J101" i="4" s="1"/>
  <c r="I93" i="4"/>
  <c r="J93" i="4" s="1"/>
  <c r="I85" i="4"/>
  <c r="J85" i="4" s="1"/>
  <c r="I77" i="4"/>
  <c r="J77" i="4" s="1"/>
  <c r="I69" i="4"/>
  <c r="J69" i="4" s="1"/>
  <c r="Y53" i="1"/>
  <c r="AD19" i="1"/>
  <c r="AD5" i="1"/>
  <c r="AD31" i="1" l="1"/>
  <c r="AD18" i="1" l="1"/>
  <c r="AD4" i="1"/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3" i="1"/>
  <c r="K3" i="1"/>
  <c r="L3" i="1"/>
  <c r="M3" i="1"/>
  <c r="N3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V16" i="1" l="1"/>
  <c r="U15" i="1"/>
  <c r="R12" i="1"/>
  <c r="Q11" i="1"/>
  <c r="T14" i="1"/>
  <c r="Q3" i="1"/>
  <c r="Q4" i="1" s="1"/>
  <c r="S13" i="1"/>
  <c r="Q5" i="1"/>
  <c r="Q6" i="1" s="1"/>
  <c r="V3" i="1"/>
  <c r="V4" i="1" s="1"/>
  <c r="S3" i="1"/>
  <c r="S4" i="1" s="1"/>
  <c r="R3" i="1"/>
  <c r="R4" i="1" s="1"/>
  <c r="V5" i="1"/>
  <c r="V6" i="1" s="1"/>
  <c r="S5" i="1"/>
  <c r="S6" i="1" s="1"/>
  <c r="R5" i="1"/>
  <c r="R6" i="1" s="1"/>
  <c r="U3" i="1"/>
  <c r="U4" i="1" s="1"/>
  <c r="U5" i="1"/>
  <c r="U6" i="1" s="1"/>
  <c r="T3" i="1"/>
  <c r="T4" i="1" s="1"/>
  <c r="T5" i="1"/>
  <c r="T6" i="1" s="1"/>
  <c r="Q20" i="1" l="1" a="1"/>
  <c r="AP6" i="1" s="1"/>
  <c r="AB24" i="1"/>
  <c r="AB10" i="1"/>
  <c r="Y36" i="1"/>
  <c r="Y24" i="1"/>
  <c r="Y10" i="1"/>
  <c r="AM6" i="1" l="1"/>
  <c r="AM7" i="1" s="1"/>
  <c r="AM8" i="1" s="1"/>
  <c r="AO6" i="1"/>
  <c r="AO7" i="1" s="1"/>
  <c r="AO8" i="1" s="1"/>
  <c r="AL6" i="1"/>
  <c r="AL7" i="1" s="1"/>
  <c r="AL8" i="1" s="1"/>
  <c r="Q20" i="1"/>
  <c r="AB22" i="1" s="1" a="1"/>
  <c r="AB22" i="1" s="1"/>
  <c r="AB23" i="1" s="1"/>
  <c r="AK6" i="1"/>
  <c r="AN6" i="1"/>
  <c r="AN7" i="1" s="1"/>
  <c r="AN8" i="1" s="1"/>
  <c r="AK7" i="1"/>
  <c r="AK8" i="1" s="1"/>
  <c r="Y25" i="1"/>
  <c r="AB11" i="1"/>
  <c r="Y8" i="1" a="1"/>
  <c r="Y8" i="1" s="1"/>
  <c r="Y9" i="1" s="1"/>
  <c r="Y37" i="1"/>
  <c r="AB25" i="1"/>
  <c r="Y11" i="1"/>
  <c r="Y34" i="1" a="1"/>
  <c r="Y34" i="1" s="1"/>
  <c r="Y35" i="1" s="1"/>
  <c r="Y38" i="1" s="1"/>
  <c r="AM18" i="1" l="1"/>
  <c r="AM16" i="1"/>
  <c r="Y22" i="1" a="1"/>
  <c r="Y22" i="1" s="1"/>
  <c r="Y23" i="1" s="1"/>
  <c r="Y26" i="1" s="1"/>
  <c r="AM17" i="1"/>
  <c r="AB8" i="1" a="1"/>
  <c r="AB8" i="1" s="1"/>
  <c r="AB9" i="1" s="1"/>
  <c r="AB12" i="1" s="1"/>
  <c r="AM15" i="1"/>
  <c r="AM19" i="1"/>
  <c r="AB26" i="1"/>
  <c r="Y12" i="1"/>
  <c r="AN19" i="1" l="1"/>
  <c r="AO19" i="1" s="1"/>
  <c r="AN15" i="1"/>
  <c r="AN17" i="1"/>
  <c r="AO17" i="1" s="1"/>
  <c r="AN16" i="1"/>
  <c r="AO16" i="1" s="1"/>
  <c r="AN18" i="1"/>
  <c r="AO18" i="1" s="1"/>
  <c r="AO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<sst xmlns="http://schemas.openxmlformats.org/spreadsheetml/2006/main" count="205" uniqueCount="55">
  <si>
    <t>Price</t>
  </si>
  <si>
    <t>log return</t>
  </si>
  <si>
    <t>Date</t>
  </si>
  <si>
    <t>AAPL</t>
  </si>
  <si>
    <t>NVDA</t>
  </si>
  <si>
    <t>TSLA</t>
  </si>
  <si>
    <t>S&amp;P500</t>
  </si>
  <si>
    <t>Annual Returns and Annual volatilities</t>
  </si>
  <si>
    <t>Daily Returns</t>
  </si>
  <si>
    <t>Annual Returns</t>
  </si>
  <si>
    <t>Daily Volatility</t>
  </si>
  <si>
    <t>Annual Volatility</t>
  </si>
  <si>
    <t>Daily covariance</t>
  </si>
  <si>
    <t>Annual Covariance</t>
  </si>
  <si>
    <t xml:space="preserve">correlation </t>
  </si>
  <si>
    <t>Minimum Volatility Portfolio</t>
  </si>
  <si>
    <t>weights</t>
  </si>
  <si>
    <t>Portfolio Variance</t>
  </si>
  <si>
    <t>Portfolio Volatility</t>
  </si>
  <si>
    <t>Total Return</t>
  </si>
  <si>
    <t>Excess Return</t>
  </si>
  <si>
    <t>Sharp Ratio</t>
  </si>
  <si>
    <t>Maximum Sharp Ratio Volatility Portfolio</t>
  </si>
  <si>
    <t>Risk Free Return</t>
  </si>
  <si>
    <t>Ticker</t>
  </si>
  <si>
    <t>Correlation Heatmap</t>
  </si>
  <si>
    <t xml:space="preserve"> Equal-Weighted Portfolio (benchmark)</t>
  </si>
  <si>
    <t>BKR</t>
  </si>
  <si>
    <t>CSX</t>
  </si>
  <si>
    <t>weights (without short-selling)</t>
  </si>
  <si>
    <t>weights (with short-selling)</t>
  </si>
  <si>
    <t>Beta</t>
  </si>
  <si>
    <t>Equal-Weighted Portfolio (benchmark)</t>
  </si>
  <si>
    <t>CAPM(Expected Returns)</t>
  </si>
  <si>
    <t>CAPM{E(R)}</t>
  </si>
  <si>
    <t>Jensen’s Alpha.</t>
  </si>
  <si>
    <t>without short-selling)</t>
  </si>
  <si>
    <t xml:space="preserve"> with short-selling</t>
  </si>
  <si>
    <t xml:space="preserve"> without short-selling</t>
  </si>
  <si>
    <t>Min. Volatility Portfolio(with short-selling)</t>
  </si>
  <si>
    <t>Min. Volatility Portfolio(without short-selling)</t>
  </si>
  <si>
    <t>Jensen’s Alpha</t>
  </si>
  <si>
    <t>Max. Sharp Ratio Portfolio(with short-selling)</t>
  </si>
  <si>
    <t>Max. Sharp Ratio Portfolio(without short-selling)</t>
  </si>
  <si>
    <t>Systematic Risk</t>
  </si>
  <si>
    <t>Idiosyncratic Risk</t>
  </si>
  <si>
    <t>Inverse Volatility</t>
  </si>
  <si>
    <t>sum</t>
  </si>
  <si>
    <t>final weight</t>
  </si>
  <si>
    <t xml:space="preserve"> Risk-Parity Portfolio (Inverse Vol)</t>
  </si>
  <si>
    <t xml:space="preserve">MSR PORTFOLIO(without short-selling) </t>
  </si>
  <si>
    <r>
      <t xml:space="preserve">Beta for the </t>
    </r>
    <r>
      <rPr>
        <i/>
        <sz val="11"/>
        <color theme="1"/>
        <rFont val="Calibri"/>
        <family val="2"/>
        <scheme val="minor"/>
      </rPr>
      <t>previous 60 days</t>
    </r>
    <r>
      <rPr>
        <sz val="11"/>
        <color theme="1"/>
        <rFont val="Calibri"/>
        <family val="2"/>
        <scheme val="minor"/>
      </rPr>
      <t xml:space="preserve"> only.</t>
    </r>
  </si>
  <si>
    <t>Rolling Alpha</t>
  </si>
  <si>
    <t>Daily Risk free rate</t>
  </si>
  <si>
    <t>Robust Max Sharpe Portfolio (Min Weight 5%,Max weight 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</si>
</sst>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%"/>
    <numFmt numFmtId="167" formatCode="0.0000"/>
    <numFmt numFmtId="168" formatCode="0.000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4">
    <xf numFmtId="0" fontId="0" fillId="0" borderId="0" xfId="0"/>
    <xf numFmtId="0" fontId="0" fillId="2" borderId="1" xfId="0" applyFill="1" applyBorder="1"/>
    <xf numFmtId="14" fontId="0" fillId="3" borderId="0" xfId="0" applyNumberFormat="1" applyFill="1"/>
    <xf numFmtId="0" fontId="0" fillId="3" borderId="0" xfId="0" applyFill="1"/>
    <xf numFmtId="4" fontId="0" fillId="3" borderId="0" xfId="0" applyNumberFormat="1" applyFill="1"/>
    <xf numFmtId="164" fontId="0" fillId="3" borderId="0" xfId="0" applyNumberFormat="1" applyFill="1"/>
    <xf numFmtId="0" fontId="0" fillId="0" borderId="1" xfId="0" applyBorder="1"/>
    <xf numFmtId="0" fontId="0" fillId="6" borderId="1" xfId="0" applyFill="1" applyBorder="1"/>
    <xf numFmtId="10" fontId="0" fillId="0" borderId="1" xfId="1" applyNumberFormat="1" applyFont="1" applyBorder="1"/>
    <xf numFmtId="10" fontId="0" fillId="6" borderId="1" xfId="1" applyNumberFormat="1" applyFont="1" applyFill="1" applyBorder="1"/>
    <xf numFmtId="0" fontId="3" fillId="0" borderId="1" xfId="0" applyFont="1" applyBorder="1" applyAlignment="1">
      <alignment horizontal="center"/>
    </xf>
    <xf numFmtId="0" fontId="0" fillId="4" borderId="0" xfId="0" applyFill="1"/>
    <xf numFmtId="0" fontId="0" fillId="3" borderId="1" xfId="0" applyFill="1" applyBorder="1"/>
    <xf numFmtId="9" fontId="0" fillId="3" borderId="1" xfId="0" applyNumberFormat="1" applyFill="1" applyBorder="1"/>
    <xf numFmtId="165" fontId="0" fillId="3" borderId="1" xfId="0" applyNumberFormat="1" applyFill="1" applyBorder="1"/>
    <xf numFmtId="10" fontId="0" fillId="3" borderId="1" xfId="1" applyNumberFormat="1" applyFont="1" applyFill="1" applyBorder="1"/>
    <xf numFmtId="166" fontId="0" fillId="3" borderId="1" xfId="0" applyNumberFormat="1" applyFill="1" applyBorder="1"/>
    <xf numFmtId="0" fontId="0" fillId="6" borderId="0" xfId="0" applyFill="1"/>
    <xf numFmtId="9" fontId="0" fillId="6" borderId="1" xfId="0" applyNumberFormat="1" applyFill="1" applyBorder="1"/>
    <xf numFmtId="165" fontId="0" fillId="6" borderId="1" xfId="0" applyNumberFormat="1" applyFill="1" applyBorder="1"/>
    <xf numFmtId="10" fontId="0" fillId="6" borderId="1" xfId="0" applyNumberFormat="1" applyFill="1" applyBorder="1"/>
    <xf numFmtId="10" fontId="0" fillId="8" borderId="0" xfId="0" applyNumberFormat="1" applyFill="1"/>
    <xf numFmtId="10" fontId="0" fillId="0" borderId="0" xfId="1" applyNumberFormat="1" applyFont="1"/>
    <xf numFmtId="2" fontId="0" fillId="0" borderId="0" xfId="0" applyNumberFormat="1"/>
    <xf numFmtId="0" fontId="0" fillId="9" borderId="0" xfId="0" applyFill="1"/>
    <xf numFmtId="0" fontId="0" fillId="9" borderId="1" xfId="0" applyFill="1" applyBorder="1"/>
    <xf numFmtId="9" fontId="0" fillId="9" borderId="1" xfId="0" applyNumberFormat="1" applyFill="1" applyBorder="1"/>
    <xf numFmtId="165" fontId="0" fillId="9" borderId="1" xfId="0" applyNumberFormat="1" applyFill="1" applyBorder="1"/>
    <xf numFmtId="10" fontId="0" fillId="9" borderId="1" xfId="1" applyNumberFormat="1" applyFont="1" applyFill="1" applyBorder="1"/>
    <xf numFmtId="10" fontId="0" fillId="9" borderId="1" xfId="0" applyNumberFormat="1" applyFill="1" applyBorder="1"/>
    <xf numFmtId="4" fontId="0" fillId="0" borderId="0" xfId="0" applyNumberFormat="1"/>
    <xf numFmtId="0" fontId="3" fillId="0" borderId="0" xfId="0" applyFont="1" applyAlignment="1">
      <alignment horizontal="center"/>
    </xf>
    <xf numFmtId="10" fontId="0" fillId="3" borderId="1" xfId="0" applyNumberFormat="1" applyFill="1" applyBorder="1"/>
    <xf numFmtId="9" fontId="0" fillId="3" borderId="1" xfId="1" applyFont="1" applyFill="1" applyBorder="1"/>
    <xf numFmtId="9" fontId="0" fillId="6" borderId="1" xfId="1" applyFont="1" applyFill="1" applyBorder="1"/>
    <xf numFmtId="10" fontId="0" fillId="6" borderId="5" xfId="1" applyNumberFormat="1" applyFont="1" applyFill="1" applyBorder="1"/>
    <xf numFmtId="10" fontId="0" fillId="12" borderId="1" xfId="0" applyNumberFormat="1" applyFill="1" applyBorder="1"/>
    <xf numFmtId="2" fontId="0" fillId="11" borderId="5" xfId="1" applyNumberFormat="1" applyFont="1" applyFill="1" applyBorder="1"/>
    <xf numFmtId="10" fontId="0" fillId="7" borderId="1" xfId="0" applyNumberFormat="1" applyFill="1" applyBorder="1"/>
    <xf numFmtId="167" fontId="0" fillId="6" borderId="1" xfId="0" applyNumberFormat="1" applyFill="1" applyBorder="1"/>
    <xf numFmtId="167" fontId="0" fillId="3" borderId="1" xfId="0" applyNumberFormat="1" applyFill="1" applyBorder="1"/>
    <xf numFmtId="0" fontId="0" fillId="0" borderId="2" xfId="0" applyBorder="1"/>
    <xf numFmtId="0" fontId="2" fillId="6" borderId="4" xfId="0" applyFont="1" applyFill="1" applyBorder="1"/>
    <xf numFmtId="0" fontId="2" fillId="6" borderId="5" xfId="0" applyFont="1" applyFill="1" applyBorder="1"/>
    <xf numFmtId="0" fontId="2" fillId="11" borderId="8" xfId="0" applyFont="1" applyFill="1" applyBorder="1"/>
    <xf numFmtId="0" fontId="2" fillId="12" borderId="1" xfId="0" applyFont="1" applyFill="1" applyBorder="1"/>
    <xf numFmtId="0" fontId="2" fillId="7" borderId="1" xfId="0" applyFont="1" applyFill="1" applyBorder="1"/>
    <xf numFmtId="0" fontId="2" fillId="0" borderId="1" xfId="0" applyFont="1" applyBorder="1"/>
    <xf numFmtId="0" fontId="5" fillId="11" borderId="1" xfId="0" applyFont="1" applyFill="1" applyBorder="1"/>
    <xf numFmtId="0" fontId="0" fillId="11" borderId="6" xfId="0" applyFill="1" applyBorder="1"/>
    <xf numFmtId="0" fontId="0" fillId="11" borderId="7" xfId="0" applyFill="1" applyBorder="1" applyAlignment="1">
      <alignment horizontal="center"/>
    </xf>
    <xf numFmtId="10" fontId="0" fillId="0" borderId="0" xfId="0" applyNumberFormat="1"/>
    <xf numFmtId="0" fontId="0" fillId="11" borderId="1" xfId="0" applyFill="1" applyBorder="1"/>
    <xf numFmtId="2" fontId="0" fillId="11" borderId="1" xfId="0" applyNumberFormat="1" applyFill="1" applyBorder="1"/>
    <xf numFmtId="0" fontId="0" fillId="11" borderId="1" xfId="0" applyFill="1" applyBorder="1" applyAlignment="1">
      <alignment horizontal="left"/>
    </xf>
    <xf numFmtId="0" fontId="2" fillId="0" borderId="0" xfId="0" applyFont="1"/>
    <xf numFmtId="0" fontId="0" fillId="11" borderId="9" xfId="0" applyFill="1" applyBorder="1"/>
    <xf numFmtId="0" fontId="0" fillId="11" borderId="5" xfId="0" applyFill="1" applyBorder="1" applyAlignment="1">
      <alignment horizontal="left"/>
    </xf>
    <xf numFmtId="10" fontId="0" fillId="5" borderId="1" xfId="1" applyNumberFormat="1" applyFont="1" applyFill="1" applyBorder="1"/>
    <xf numFmtId="10" fontId="0" fillId="5" borderId="1" xfId="0" applyNumberFormat="1" applyFill="1" applyBorder="1"/>
    <xf numFmtId="0" fontId="2" fillId="5" borderId="1" xfId="0" applyFont="1" applyFill="1" applyBorder="1"/>
    <xf numFmtId="0" fontId="0" fillId="11" borderId="4" xfId="0" applyFill="1" applyBorder="1"/>
    <xf numFmtId="0" fontId="5" fillId="11" borderId="2" xfId="0" applyFont="1" applyFill="1" applyBorder="1"/>
    <xf numFmtId="167" fontId="0" fillId="6" borderId="1" xfId="1" applyNumberFormat="1" applyFont="1" applyFill="1" applyBorder="1"/>
    <xf numFmtId="167" fontId="0" fillId="0" borderId="0" xfId="1" applyNumberFormat="1" applyFont="1" applyFill="1" applyBorder="1"/>
    <xf numFmtId="167" fontId="0" fillId="0" borderId="1" xfId="0" applyNumberFormat="1" applyBorder="1"/>
    <xf numFmtId="0" fontId="0" fillId="12" borderId="1" xfId="0" applyFill="1" applyBorder="1"/>
    <xf numFmtId="9" fontId="0" fillId="12" borderId="1" xfId="0" applyNumberFormat="1" applyFill="1" applyBorder="1"/>
    <xf numFmtId="165" fontId="0" fillId="12" borderId="1" xfId="0" applyNumberFormat="1" applyFill="1" applyBorder="1"/>
    <xf numFmtId="10" fontId="0" fillId="12" borderId="1" xfId="1" applyNumberFormat="1" applyFont="1" applyFill="1" applyBorder="1"/>
    <xf numFmtId="0" fontId="0" fillId="0" borderId="10" xfId="0" applyBorder="1"/>
    <xf numFmtId="0" fontId="0" fillId="0" borderId="11" xfId="0" applyBorder="1"/>
    <xf numFmtId="2" fontId="0" fillId="0" borderId="11" xfId="0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6" borderId="15" xfId="0" applyFont="1" applyFill="1" applyBorder="1"/>
    <xf numFmtId="0" fontId="0" fillId="12" borderId="0" xfId="0" applyFill="1"/>
    <xf numFmtId="0" fontId="2" fillId="12" borderId="15" xfId="0" applyFont="1" applyFill="1" applyBorder="1"/>
    <xf numFmtId="10" fontId="0" fillId="12" borderId="0" xfId="1" applyNumberFormat="1" applyFont="1" applyFill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14" fontId="0" fillId="0" borderId="0" xfId="0" applyNumberFormat="1"/>
    <xf numFmtId="0" fontId="0" fillId="0" borderId="1" xfId="0" applyBorder="1" applyAlignment="1">
      <alignment wrapText="1"/>
    </xf>
    <xf numFmtId="166" fontId="0" fillId="0" borderId="0" xfId="1" applyNumberFormat="1" applyFont="1"/>
    <xf numFmtId="168" fontId="0" fillId="0" borderId="1" xfId="0" applyNumberFormat="1" applyBorder="1"/>
    <xf numFmtId="0" fontId="0" fillId="2" borderId="9" xfId="0" applyFill="1" applyBorder="1" applyAlignment="1">
      <alignment wrapText="1"/>
    </xf>
    <xf numFmtId="10" fontId="0" fillId="0" borderId="0" xfId="1" applyNumberFormat="1" applyFont="1" applyFill="1" applyBorder="1"/>
    <xf numFmtId="0" fontId="2" fillId="5" borderId="9" xfId="0" applyFont="1" applyFill="1" applyBorder="1"/>
    <xf numFmtId="10" fontId="0" fillId="5" borderId="9" xfId="0" applyNumberFormat="1" applyFill="1" applyBorder="1"/>
    <xf numFmtId="10" fontId="0" fillId="6" borderId="0" xfId="1" applyNumberFormat="1" applyFont="1" applyFill="1" applyBorder="1"/>
    <xf numFmtId="9" fontId="0" fillId="6" borderId="0" xfId="1" applyFont="1" applyFill="1" applyBorder="1"/>
    <xf numFmtId="167" fontId="0" fillId="0" borderId="0" xfId="0" applyNumberFormat="1"/>
    <xf numFmtId="0" fontId="2" fillId="13" borderId="0" xfId="0" applyFont="1" applyFill="1" applyAlignment="1">
      <alignment horizontal="center"/>
    </xf>
    <xf numFmtId="0" fontId="6" fillId="0" borderId="17" xfId="0" applyFont="1" applyBorder="1" applyAlignment="1">
      <alignment horizontal="center"/>
    </xf>
    <xf numFmtId="0" fontId="2" fillId="10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2" fillId="7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0" fontId="0" fillId="7" borderId="9" xfId="0" applyNumberFormat="1" applyFill="1" applyBorder="1" applyAlignment="1">
      <alignment horizontal="center"/>
    </xf>
    <xf numFmtId="10" fontId="0" fillId="7" borderId="7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10" fontId="0" fillId="7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8" borderId="0" xfId="0" applyFill="1" applyAlignment="1">
      <alignment horizontal="left"/>
    </xf>
    <xf numFmtId="0" fontId="2" fillId="4" borderId="0" xfId="0" applyFont="1" applyFill="1" applyAlignment="1">
      <alignment horizontal="center"/>
    </xf>
    <xf numFmtId="0" fontId="4" fillId="0" borderId="3" xfId="0" applyFont="1" applyBorder="1" applyAlignment="1">
      <alignment horizontal="center"/>
    </xf>
    <xf numFmtId="0" fontId="0" fillId="6" borderId="0" xfId="0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EF53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Risk-Return Profile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 Risk–return profiles&amp; (heatmp)'!$C$1</c:f>
              <c:strCache>
                <c:ptCount val="1"/>
                <c:pt idx="0">
                  <c:v>Annual Volatility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1295144356955378"/>
                  <c:y val="-0.11581000291630213"/>
                </c:manualLayout>
              </c:layout>
              <c:tx>
                <c:rich>
                  <a:bodyPr/>
                  <a:lstStyle/>
                  <a:p>
                    <a:fld id="{65507B36-5143-4778-BC7D-D1679812E370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BFAEFDD6-7578-4643-9A46-27A5432D43E4}" type="XVALUE">
                      <a:rPr lang="en-US" baseline="0"/>
                      <a:pPr/>
                      <a:t>[X VALUE]</a:t>
                    </a:fld>
                    <a:r>
                      <a:rPr lang="en-US" baseline="0"/>
                      <a:t>, </a:t>
                    </a:r>
                    <a:fld id="{9BF3FDFF-8F02-4F81-984D-6DE9E921D0E8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8692-442D-BDA0-E028D29AC49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0EE70B3-9055-46AB-930E-ADD8413FF991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A6F0B5C5-7CFB-4897-A49C-41A728C38CBA}" type="XVALUE">
                      <a:rPr lang="en-US" baseline="0"/>
                      <a:pPr/>
                      <a:t>[X VALUE]</a:t>
                    </a:fld>
                    <a:r>
                      <a:rPr lang="en-US" baseline="0"/>
                      <a:t>, </a:t>
                    </a:r>
                    <a:fld id="{81E4EACE-386C-4422-BB03-FCB13D75D7B4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b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692-442D-BDA0-E028D29AC49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D9B2B7D-AF74-445B-8620-A3D086573D53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0260A169-16A6-41D0-835B-604FAF6464DA}" type="XVALUE">
                      <a:rPr lang="en-US" baseline="0"/>
                      <a:pPr/>
                      <a:t>[X VALUE]</a:t>
                    </a:fld>
                    <a:r>
                      <a:rPr lang="en-US" baseline="0"/>
                      <a:t>, </a:t>
                    </a:r>
                    <a:fld id="{B28ED047-C3D6-4B69-A4AC-53390F720E97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b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692-442D-BDA0-E028D29AC492}"/>
                </c:ext>
              </c:extLst>
            </c:dLbl>
            <c:dLbl>
              <c:idx val="3"/>
              <c:layout>
                <c:manualLayout>
                  <c:x val="-2.8548775153105912E-2"/>
                  <c:y val="0.12030110819480898"/>
                </c:manualLayout>
              </c:layout>
              <c:tx>
                <c:rich>
                  <a:bodyPr/>
                  <a:lstStyle/>
                  <a:p>
                    <a:fld id="{BD2125D5-7788-446A-9806-ACEC747A23A2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9BC281C7-2697-4FA0-B8E6-72A8CC267D0F}" type="XVALUE">
                      <a:rPr lang="en-US" baseline="0"/>
                      <a:pPr/>
                      <a:t>[X VALUE]</a:t>
                    </a:fld>
                    <a:r>
                      <a:rPr lang="en-US" baseline="0"/>
                      <a:t>, </a:t>
                    </a:r>
                    <a:fld id="{E4E9B9D2-CAD0-4EB2-8BB1-FF96446578AE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8692-442D-BDA0-E028D29AC49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91E482F-1490-4989-9297-F86D34D5C0F2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587CDAF1-F7E2-484C-93BB-DE8E595A43E3}" type="XVALUE">
                      <a:rPr lang="en-US" baseline="0"/>
                      <a:pPr/>
                      <a:t>[X VALUE]</a:t>
                    </a:fld>
                    <a:r>
                      <a:rPr lang="en-US" baseline="0"/>
                      <a:t>, </a:t>
                    </a:r>
                    <a:fld id="{50694F8A-4A1F-4559-9714-6A78C0C59ABC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b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692-442D-BDA0-E028D29AC4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 Risk–return profiles&amp; (heatmp)'!$B$2:$B$6</c:f>
              <c:numCache>
                <c:formatCode>0.00%</c:formatCode>
                <c:ptCount val="5"/>
                <c:pt idx="0">
                  <c:v>0.23065200045101711</c:v>
                </c:pt>
                <c:pt idx="1">
                  <c:v>0.82817517037158217</c:v>
                </c:pt>
                <c:pt idx="2">
                  <c:v>0.4328268174985081</c:v>
                </c:pt>
                <c:pt idx="3">
                  <c:v>0.16654040848485943</c:v>
                </c:pt>
                <c:pt idx="4">
                  <c:v>3.1616622190759447E-2</c:v>
                </c:pt>
              </c:numCache>
            </c:numRef>
          </c:xVal>
          <c:yVal>
            <c:numRef>
              <c:f>' Risk–return profiles&amp; (heatmp)'!$C$2:$C$6</c:f>
              <c:numCache>
                <c:formatCode>0.00%</c:formatCode>
                <c:ptCount val="5"/>
                <c:pt idx="0">
                  <c:v>0.25368540296352809</c:v>
                </c:pt>
                <c:pt idx="1">
                  <c:v>0.49416983045984025</c:v>
                </c:pt>
                <c:pt idx="2">
                  <c:v>0.59409030677985442</c:v>
                </c:pt>
                <c:pt idx="3">
                  <c:v>0.30364131415291995</c:v>
                </c:pt>
                <c:pt idx="4">
                  <c:v>0.21766415401448752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 Risk–return profiles&amp; (heatmp)'!$A$2:$A$6</c15:f>
                <c15:dlblRangeCache>
                  <c:ptCount val="5"/>
                  <c:pt idx="0">
                    <c:v>AAPL</c:v>
                  </c:pt>
                  <c:pt idx="1">
                    <c:v>NVDA</c:v>
                  </c:pt>
                  <c:pt idx="2">
                    <c:v>TSLA</c:v>
                  </c:pt>
                  <c:pt idx="3">
                    <c:v>BKR</c:v>
                  </c:pt>
                  <c:pt idx="4">
                    <c:v>CSX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8692-442D-BDA0-E028D29AC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8643455"/>
        <c:axId val="908639615"/>
      </c:scatterChart>
      <c:valAx>
        <c:axId val="90864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39615"/>
        <c:crosses val="autoZero"/>
        <c:crossBetween val="midCat"/>
      </c:valAx>
      <c:valAx>
        <c:axId val="90863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Risk</a:t>
                </a:r>
              </a:p>
            </c:rich>
          </c:tx>
          <c:overlay val="0"/>
          <c:spPr>
            <a:noFill/>
            <a:ln>
              <a:noFill/>
            </a:ln>
            <a:effectLst>
              <a:glow rad="127000">
                <a:schemeClr val="accent6">
                  <a:lumMod val="75000"/>
                </a:schemeClr>
              </a:glow>
            </a:effectLst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4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60-Day Rolling Jensen's Alpha (Annualized)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 Rolling-window portfolio analy'!$A$62:$A$754</c:f>
              <c:numCache>
                <c:formatCode>m/d/yyyy</c:formatCode>
                <c:ptCount val="693"/>
                <c:pt idx="0">
                  <c:v>45944</c:v>
                </c:pt>
                <c:pt idx="1">
                  <c:v>45943</c:v>
                </c:pt>
                <c:pt idx="2">
                  <c:v>45940</c:v>
                </c:pt>
                <c:pt idx="3">
                  <c:v>45939</c:v>
                </c:pt>
                <c:pt idx="4">
                  <c:v>45938</c:v>
                </c:pt>
                <c:pt idx="5">
                  <c:v>45937</c:v>
                </c:pt>
                <c:pt idx="6">
                  <c:v>45936</c:v>
                </c:pt>
                <c:pt idx="7">
                  <c:v>45933</c:v>
                </c:pt>
                <c:pt idx="8">
                  <c:v>45932</c:v>
                </c:pt>
                <c:pt idx="9">
                  <c:v>45931</c:v>
                </c:pt>
                <c:pt idx="10">
                  <c:v>45930</c:v>
                </c:pt>
                <c:pt idx="11">
                  <c:v>45929</c:v>
                </c:pt>
                <c:pt idx="12">
                  <c:v>45926</c:v>
                </c:pt>
                <c:pt idx="13">
                  <c:v>45925</c:v>
                </c:pt>
                <c:pt idx="14">
                  <c:v>45924</c:v>
                </c:pt>
                <c:pt idx="15">
                  <c:v>45923</c:v>
                </c:pt>
                <c:pt idx="16">
                  <c:v>45922</c:v>
                </c:pt>
                <c:pt idx="17">
                  <c:v>45919</c:v>
                </c:pt>
                <c:pt idx="18">
                  <c:v>45918</c:v>
                </c:pt>
                <c:pt idx="19">
                  <c:v>45917</c:v>
                </c:pt>
                <c:pt idx="20">
                  <c:v>45916</c:v>
                </c:pt>
                <c:pt idx="21">
                  <c:v>45915</c:v>
                </c:pt>
                <c:pt idx="22">
                  <c:v>45912</c:v>
                </c:pt>
                <c:pt idx="23">
                  <c:v>45911</c:v>
                </c:pt>
                <c:pt idx="24">
                  <c:v>45910</c:v>
                </c:pt>
                <c:pt idx="25">
                  <c:v>45909</c:v>
                </c:pt>
                <c:pt idx="26">
                  <c:v>45908</c:v>
                </c:pt>
                <c:pt idx="27">
                  <c:v>45905</c:v>
                </c:pt>
                <c:pt idx="28">
                  <c:v>45904</c:v>
                </c:pt>
                <c:pt idx="29">
                  <c:v>45903</c:v>
                </c:pt>
                <c:pt idx="30">
                  <c:v>45902</c:v>
                </c:pt>
                <c:pt idx="31">
                  <c:v>45898</c:v>
                </c:pt>
                <c:pt idx="32">
                  <c:v>45897</c:v>
                </c:pt>
                <c:pt idx="33">
                  <c:v>45896</c:v>
                </c:pt>
                <c:pt idx="34">
                  <c:v>45895</c:v>
                </c:pt>
                <c:pt idx="35">
                  <c:v>45894</c:v>
                </c:pt>
                <c:pt idx="36">
                  <c:v>45891</c:v>
                </c:pt>
                <c:pt idx="37">
                  <c:v>45890</c:v>
                </c:pt>
                <c:pt idx="38">
                  <c:v>45889</c:v>
                </c:pt>
                <c:pt idx="39">
                  <c:v>45888</c:v>
                </c:pt>
                <c:pt idx="40">
                  <c:v>45887</c:v>
                </c:pt>
                <c:pt idx="41">
                  <c:v>45884</c:v>
                </c:pt>
                <c:pt idx="42">
                  <c:v>45883</c:v>
                </c:pt>
                <c:pt idx="43">
                  <c:v>45882</c:v>
                </c:pt>
                <c:pt idx="44">
                  <c:v>45881</c:v>
                </c:pt>
                <c:pt idx="45">
                  <c:v>45880</c:v>
                </c:pt>
                <c:pt idx="46">
                  <c:v>45877</c:v>
                </c:pt>
                <c:pt idx="47">
                  <c:v>45876</c:v>
                </c:pt>
                <c:pt idx="48">
                  <c:v>45875</c:v>
                </c:pt>
                <c:pt idx="49">
                  <c:v>45874</c:v>
                </c:pt>
                <c:pt idx="50">
                  <c:v>45873</c:v>
                </c:pt>
                <c:pt idx="51">
                  <c:v>45870</c:v>
                </c:pt>
                <c:pt idx="52">
                  <c:v>45869</c:v>
                </c:pt>
                <c:pt idx="53">
                  <c:v>45868</c:v>
                </c:pt>
                <c:pt idx="54">
                  <c:v>45867</c:v>
                </c:pt>
                <c:pt idx="55">
                  <c:v>45866</c:v>
                </c:pt>
                <c:pt idx="56">
                  <c:v>45863</c:v>
                </c:pt>
                <c:pt idx="57">
                  <c:v>45862</c:v>
                </c:pt>
                <c:pt idx="58">
                  <c:v>45861</c:v>
                </c:pt>
                <c:pt idx="59">
                  <c:v>45860</c:v>
                </c:pt>
                <c:pt idx="60">
                  <c:v>45859</c:v>
                </c:pt>
                <c:pt idx="61">
                  <c:v>45856</c:v>
                </c:pt>
                <c:pt idx="62">
                  <c:v>45855</c:v>
                </c:pt>
                <c:pt idx="63">
                  <c:v>45854</c:v>
                </c:pt>
                <c:pt idx="64">
                  <c:v>45853</c:v>
                </c:pt>
                <c:pt idx="65">
                  <c:v>45852</c:v>
                </c:pt>
                <c:pt idx="66">
                  <c:v>45849</c:v>
                </c:pt>
                <c:pt idx="67">
                  <c:v>45848</c:v>
                </c:pt>
                <c:pt idx="68">
                  <c:v>45847</c:v>
                </c:pt>
                <c:pt idx="69">
                  <c:v>45846</c:v>
                </c:pt>
                <c:pt idx="70">
                  <c:v>45845</c:v>
                </c:pt>
                <c:pt idx="71">
                  <c:v>45841</c:v>
                </c:pt>
                <c:pt idx="72">
                  <c:v>45840</c:v>
                </c:pt>
                <c:pt idx="73">
                  <c:v>45839</c:v>
                </c:pt>
                <c:pt idx="74">
                  <c:v>45838</c:v>
                </c:pt>
                <c:pt idx="75">
                  <c:v>45835</c:v>
                </c:pt>
                <c:pt idx="76">
                  <c:v>45834</c:v>
                </c:pt>
                <c:pt idx="77">
                  <c:v>45833</c:v>
                </c:pt>
                <c:pt idx="78">
                  <c:v>45832</c:v>
                </c:pt>
                <c:pt idx="79">
                  <c:v>45831</c:v>
                </c:pt>
                <c:pt idx="80">
                  <c:v>45828</c:v>
                </c:pt>
                <c:pt idx="81">
                  <c:v>45826</c:v>
                </c:pt>
                <c:pt idx="82">
                  <c:v>45825</c:v>
                </c:pt>
                <c:pt idx="83">
                  <c:v>45824</c:v>
                </c:pt>
                <c:pt idx="84">
                  <c:v>45821</c:v>
                </c:pt>
                <c:pt idx="85">
                  <c:v>45820</c:v>
                </c:pt>
                <c:pt idx="86">
                  <c:v>45819</c:v>
                </c:pt>
                <c:pt idx="87">
                  <c:v>45818</c:v>
                </c:pt>
                <c:pt idx="88">
                  <c:v>45817</c:v>
                </c:pt>
                <c:pt idx="89">
                  <c:v>45814</c:v>
                </c:pt>
                <c:pt idx="90">
                  <c:v>45813</c:v>
                </c:pt>
                <c:pt idx="91">
                  <c:v>45812</c:v>
                </c:pt>
                <c:pt idx="92">
                  <c:v>45811</c:v>
                </c:pt>
                <c:pt idx="93">
                  <c:v>45810</c:v>
                </c:pt>
                <c:pt idx="94">
                  <c:v>45807</c:v>
                </c:pt>
                <c:pt idx="95">
                  <c:v>45806</c:v>
                </c:pt>
                <c:pt idx="96">
                  <c:v>45805</c:v>
                </c:pt>
                <c:pt idx="97">
                  <c:v>45804</c:v>
                </c:pt>
                <c:pt idx="98">
                  <c:v>45800</c:v>
                </c:pt>
                <c:pt idx="99">
                  <c:v>45799</c:v>
                </c:pt>
                <c:pt idx="100">
                  <c:v>45798</c:v>
                </c:pt>
                <c:pt idx="101">
                  <c:v>45797</c:v>
                </c:pt>
                <c:pt idx="102">
                  <c:v>45796</c:v>
                </c:pt>
                <c:pt idx="103">
                  <c:v>45793</c:v>
                </c:pt>
                <c:pt idx="104">
                  <c:v>45792</c:v>
                </c:pt>
                <c:pt idx="105">
                  <c:v>45791</c:v>
                </c:pt>
                <c:pt idx="106">
                  <c:v>45790</c:v>
                </c:pt>
                <c:pt idx="107">
                  <c:v>45789</c:v>
                </c:pt>
                <c:pt idx="108">
                  <c:v>45786</c:v>
                </c:pt>
                <c:pt idx="109">
                  <c:v>45785</c:v>
                </c:pt>
                <c:pt idx="110">
                  <c:v>45784</c:v>
                </c:pt>
                <c:pt idx="111">
                  <c:v>45783</c:v>
                </c:pt>
                <c:pt idx="112">
                  <c:v>45782</c:v>
                </c:pt>
                <c:pt idx="113">
                  <c:v>45779</c:v>
                </c:pt>
                <c:pt idx="114">
                  <c:v>45778</c:v>
                </c:pt>
                <c:pt idx="115">
                  <c:v>45777</c:v>
                </c:pt>
                <c:pt idx="116">
                  <c:v>45776</c:v>
                </c:pt>
                <c:pt idx="117">
                  <c:v>45775</c:v>
                </c:pt>
                <c:pt idx="118">
                  <c:v>45772</c:v>
                </c:pt>
                <c:pt idx="119">
                  <c:v>45771</c:v>
                </c:pt>
                <c:pt idx="120">
                  <c:v>45770</c:v>
                </c:pt>
                <c:pt idx="121">
                  <c:v>45769</c:v>
                </c:pt>
                <c:pt idx="122">
                  <c:v>45768</c:v>
                </c:pt>
                <c:pt idx="123">
                  <c:v>45764</c:v>
                </c:pt>
                <c:pt idx="124">
                  <c:v>45763</c:v>
                </c:pt>
                <c:pt idx="125">
                  <c:v>45762</c:v>
                </c:pt>
                <c:pt idx="126">
                  <c:v>45761</c:v>
                </c:pt>
                <c:pt idx="127">
                  <c:v>45758</c:v>
                </c:pt>
                <c:pt idx="128">
                  <c:v>45757</c:v>
                </c:pt>
                <c:pt idx="129">
                  <c:v>45756</c:v>
                </c:pt>
                <c:pt idx="130">
                  <c:v>45755</c:v>
                </c:pt>
                <c:pt idx="131">
                  <c:v>45754</c:v>
                </c:pt>
                <c:pt idx="132">
                  <c:v>45751</c:v>
                </c:pt>
                <c:pt idx="133">
                  <c:v>45750</c:v>
                </c:pt>
                <c:pt idx="134">
                  <c:v>45749</c:v>
                </c:pt>
                <c:pt idx="135">
                  <c:v>45748</c:v>
                </c:pt>
                <c:pt idx="136">
                  <c:v>45747</c:v>
                </c:pt>
                <c:pt idx="137">
                  <c:v>45744</c:v>
                </c:pt>
                <c:pt idx="138">
                  <c:v>45743</c:v>
                </c:pt>
                <c:pt idx="139">
                  <c:v>45742</c:v>
                </c:pt>
                <c:pt idx="140">
                  <c:v>45741</c:v>
                </c:pt>
                <c:pt idx="141">
                  <c:v>45740</c:v>
                </c:pt>
                <c:pt idx="142">
                  <c:v>45737</c:v>
                </c:pt>
                <c:pt idx="143">
                  <c:v>45736</c:v>
                </c:pt>
                <c:pt idx="144">
                  <c:v>45735</c:v>
                </c:pt>
                <c:pt idx="145">
                  <c:v>45734</c:v>
                </c:pt>
                <c:pt idx="146">
                  <c:v>45733</c:v>
                </c:pt>
                <c:pt idx="147">
                  <c:v>45730</c:v>
                </c:pt>
                <c:pt idx="148">
                  <c:v>45729</c:v>
                </c:pt>
                <c:pt idx="149">
                  <c:v>45728</c:v>
                </c:pt>
                <c:pt idx="150">
                  <c:v>45727</c:v>
                </c:pt>
                <c:pt idx="151">
                  <c:v>45726</c:v>
                </c:pt>
                <c:pt idx="152">
                  <c:v>45723</c:v>
                </c:pt>
                <c:pt idx="153">
                  <c:v>45722</c:v>
                </c:pt>
                <c:pt idx="154">
                  <c:v>45721</c:v>
                </c:pt>
                <c:pt idx="155">
                  <c:v>45720</c:v>
                </c:pt>
                <c:pt idx="156">
                  <c:v>45719</c:v>
                </c:pt>
                <c:pt idx="157">
                  <c:v>45716</c:v>
                </c:pt>
                <c:pt idx="158">
                  <c:v>45715</c:v>
                </c:pt>
                <c:pt idx="159">
                  <c:v>45714</c:v>
                </c:pt>
                <c:pt idx="160">
                  <c:v>45713</c:v>
                </c:pt>
                <c:pt idx="161">
                  <c:v>45712</c:v>
                </c:pt>
                <c:pt idx="162">
                  <c:v>45709</c:v>
                </c:pt>
                <c:pt idx="163">
                  <c:v>45708</c:v>
                </c:pt>
                <c:pt idx="164">
                  <c:v>45707</c:v>
                </c:pt>
                <c:pt idx="165">
                  <c:v>45706</c:v>
                </c:pt>
                <c:pt idx="166">
                  <c:v>45702</c:v>
                </c:pt>
                <c:pt idx="167">
                  <c:v>45701</c:v>
                </c:pt>
                <c:pt idx="168">
                  <c:v>45700</c:v>
                </c:pt>
                <c:pt idx="169">
                  <c:v>45699</c:v>
                </c:pt>
                <c:pt idx="170">
                  <c:v>45698</c:v>
                </c:pt>
                <c:pt idx="171">
                  <c:v>45695</c:v>
                </c:pt>
                <c:pt idx="172">
                  <c:v>45694</c:v>
                </c:pt>
                <c:pt idx="173">
                  <c:v>45693</c:v>
                </c:pt>
                <c:pt idx="174">
                  <c:v>45692</c:v>
                </c:pt>
                <c:pt idx="175">
                  <c:v>45691</c:v>
                </c:pt>
                <c:pt idx="176">
                  <c:v>45688</c:v>
                </c:pt>
                <c:pt idx="177">
                  <c:v>45687</c:v>
                </c:pt>
                <c:pt idx="178">
                  <c:v>45686</c:v>
                </c:pt>
                <c:pt idx="179">
                  <c:v>45685</c:v>
                </c:pt>
                <c:pt idx="180">
                  <c:v>45684</c:v>
                </c:pt>
                <c:pt idx="181">
                  <c:v>45681</c:v>
                </c:pt>
                <c:pt idx="182">
                  <c:v>45680</c:v>
                </c:pt>
                <c:pt idx="183">
                  <c:v>45679</c:v>
                </c:pt>
                <c:pt idx="184">
                  <c:v>45678</c:v>
                </c:pt>
                <c:pt idx="185">
                  <c:v>45674</c:v>
                </c:pt>
                <c:pt idx="186">
                  <c:v>45673</c:v>
                </c:pt>
                <c:pt idx="187">
                  <c:v>45672</c:v>
                </c:pt>
                <c:pt idx="188">
                  <c:v>45671</c:v>
                </c:pt>
                <c:pt idx="189">
                  <c:v>45670</c:v>
                </c:pt>
                <c:pt idx="190">
                  <c:v>45667</c:v>
                </c:pt>
                <c:pt idx="191">
                  <c:v>45665</c:v>
                </c:pt>
                <c:pt idx="192">
                  <c:v>45664</c:v>
                </c:pt>
                <c:pt idx="193">
                  <c:v>45663</c:v>
                </c:pt>
                <c:pt idx="194">
                  <c:v>45660</c:v>
                </c:pt>
                <c:pt idx="195">
                  <c:v>45659</c:v>
                </c:pt>
                <c:pt idx="196">
                  <c:v>45657</c:v>
                </c:pt>
                <c:pt idx="197">
                  <c:v>45656</c:v>
                </c:pt>
                <c:pt idx="198">
                  <c:v>45653</c:v>
                </c:pt>
                <c:pt idx="199">
                  <c:v>45652</c:v>
                </c:pt>
                <c:pt idx="200">
                  <c:v>45650</c:v>
                </c:pt>
                <c:pt idx="201">
                  <c:v>45649</c:v>
                </c:pt>
                <c:pt idx="202">
                  <c:v>45646</c:v>
                </c:pt>
                <c:pt idx="203">
                  <c:v>45645</c:v>
                </c:pt>
                <c:pt idx="204">
                  <c:v>45644</c:v>
                </c:pt>
                <c:pt idx="205">
                  <c:v>45643</c:v>
                </c:pt>
                <c:pt idx="206">
                  <c:v>45642</c:v>
                </c:pt>
                <c:pt idx="207">
                  <c:v>45639</c:v>
                </c:pt>
                <c:pt idx="208">
                  <c:v>45638</c:v>
                </c:pt>
                <c:pt idx="209">
                  <c:v>45637</c:v>
                </c:pt>
                <c:pt idx="210">
                  <c:v>45636</c:v>
                </c:pt>
                <c:pt idx="211">
                  <c:v>45635</c:v>
                </c:pt>
                <c:pt idx="212">
                  <c:v>45632</c:v>
                </c:pt>
                <c:pt idx="213">
                  <c:v>45631</c:v>
                </c:pt>
                <c:pt idx="214">
                  <c:v>45630</c:v>
                </c:pt>
                <c:pt idx="215">
                  <c:v>45629</c:v>
                </c:pt>
                <c:pt idx="216">
                  <c:v>45628</c:v>
                </c:pt>
                <c:pt idx="217">
                  <c:v>45625</c:v>
                </c:pt>
                <c:pt idx="218">
                  <c:v>45623</c:v>
                </c:pt>
                <c:pt idx="219">
                  <c:v>45622</c:v>
                </c:pt>
                <c:pt idx="220">
                  <c:v>45621</c:v>
                </c:pt>
                <c:pt idx="221">
                  <c:v>45618</c:v>
                </c:pt>
                <c:pt idx="222">
                  <c:v>45617</c:v>
                </c:pt>
                <c:pt idx="223">
                  <c:v>45616</c:v>
                </c:pt>
                <c:pt idx="224">
                  <c:v>45615</c:v>
                </c:pt>
                <c:pt idx="225">
                  <c:v>45614</c:v>
                </c:pt>
                <c:pt idx="226">
                  <c:v>45611</c:v>
                </c:pt>
                <c:pt idx="227">
                  <c:v>45610</c:v>
                </c:pt>
                <c:pt idx="228">
                  <c:v>45609</c:v>
                </c:pt>
                <c:pt idx="229">
                  <c:v>45608</c:v>
                </c:pt>
                <c:pt idx="230">
                  <c:v>45607</c:v>
                </c:pt>
                <c:pt idx="231">
                  <c:v>45604</c:v>
                </c:pt>
                <c:pt idx="232">
                  <c:v>45603</c:v>
                </c:pt>
                <c:pt idx="233">
                  <c:v>45602</c:v>
                </c:pt>
                <c:pt idx="234">
                  <c:v>45601</c:v>
                </c:pt>
                <c:pt idx="235">
                  <c:v>45600</c:v>
                </c:pt>
                <c:pt idx="236">
                  <c:v>45597</c:v>
                </c:pt>
                <c:pt idx="237">
                  <c:v>45596</c:v>
                </c:pt>
                <c:pt idx="238">
                  <c:v>45595</c:v>
                </c:pt>
                <c:pt idx="239">
                  <c:v>45594</c:v>
                </c:pt>
                <c:pt idx="240">
                  <c:v>45593</c:v>
                </c:pt>
                <c:pt idx="241">
                  <c:v>45590</c:v>
                </c:pt>
                <c:pt idx="242">
                  <c:v>45589</c:v>
                </c:pt>
                <c:pt idx="243">
                  <c:v>45588</c:v>
                </c:pt>
                <c:pt idx="244">
                  <c:v>45587</c:v>
                </c:pt>
                <c:pt idx="245">
                  <c:v>45586</c:v>
                </c:pt>
                <c:pt idx="246">
                  <c:v>45583</c:v>
                </c:pt>
                <c:pt idx="247">
                  <c:v>45582</c:v>
                </c:pt>
                <c:pt idx="248">
                  <c:v>45581</c:v>
                </c:pt>
                <c:pt idx="249">
                  <c:v>45580</c:v>
                </c:pt>
                <c:pt idx="250">
                  <c:v>45579</c:v>
                </c:pt>
                <c:pt idx="251">
                  <c:v>45576</c:v>
                </c:pt>
                <c:pt idx="252">
                  <c:v>45575</c:v>
                </c:pt>
                <c:pt idx="253">
                  <c:v>45574</c:v>
                </c:pt>
                <c:pt idx="254">
                  <c:v>45573</c:v>
                </c:pt>
                <c:pt idx="255">
                  <c:v>45572</c:v>
                </c:pt>
                <c:pt idx="256">
                  <c:v>45569</c:v>
                </c:pt>
                <c:pt idx="257">
                  <c:v>45568</c:v>
                </c:pt>
                <c:pt idx="258">
                  <c:v>45567</c:v>
                </c:pt>
                <c:pt idx="259">
                  <c:v>45566</c:v>
                </c:pt>
                <c:pt idx="260">
                  <c:v>45565</c:v>
                </c:pt>
                <c:pt idx="261">
                  <c:v>45562</c:v>
                </c:pt>
                <c:pt idx="262">
                  <c:v>45561</c:v>
                </c:pt>
                <c:pt idx="263">
                  <c:v>45560</c:v>
                </c:pt>
                <c:pt idx="264">
                  <c:v>45559</c:v>
                </c:pt>
                <c:pt idx="265">
                  <c:v>45558</c:v>
                </c:pt>
                <c:pt idx="266">
                  <c:v>45555</c:v>
                </c:pt>
                <c:pt idx="267">
                  <c:v>45554</c:v>
                </c:pt>
                <c:pt idx="268">
                  <c:v>45553</c:v>
                </c:pt>
                <c:pt idx="269">
                  <c:v>45552</c:v>
                </c:pt>
                <c:pt idx="270">
                  <c:v>45551</c:v>
                </c:pt>
                <c:pt idx="271">
                  <c:v>45548</c:v>
                </c:pt>
                <c:pt idx="272">
                  <c:v>45547</c:v>
                </c:pt>
                <c:pt idx="273">
                  <c:v>45546</c:v>
                </c:pt>
                <c:pt idx="274">
                  <c:v>45545</c:v>
                </c:pt>
                <c:pt idx="275">
                  <c:v>45544</c:v>
                </c:pt>
                <c:pt idx="276">
                  <c:v>45541</c:v>
                </c:pt>
                <c:pt idx="277">
                  <c:v>45540</c:v>
                </c:pt>
                <c:pt idx="278">
                  <c:v>45539</c:v>
                </c:pt>
                <c:pt idx="279">
                  <c:v>45538</c:v>
                </c:pt>
                <c:pt idx="280">
                  <c:v>45534</c:v>
                </c:pt>
                <c:pt idx="281">
                  <c:v>45533</c:v>
                </c:pt>
                <c:pt idx="282">
                  <c:v>45532</c:v>
                </c:pt>
                <c:pt idx="283">
                  <c:v>45531</c:v>
                </c:pt>
                <c:pt idx="284">
                  <c:v>45530</c:v>
                </c:pt>
                <c:pt idx="285">
                  <c:v>45527</c:v>
                </c:pt>
                <c:pt idx="286">
                  <c:v>45526</c:v>
                </c:pt>
                <c:pt idx="287">
                  <c:v>45525</c:v>
                </c:pt>
                <c:pt idx="288">
                  <c:v>45524</c:v>
                </c:pt>
                <c:pt idx="289">
                  <c:v>45523</c:v>
                </c:pt>
                <c:pt idx="290">
                  <c:v>45520</c:v>
                </c:pt>
                <c:pt idx="291">
                  <c:v>45519</c:v>
                </c:pt>
                <c:pt idx="292">
                  <c:v>45518</c:v>
                </c:pt>
                <c:pt idx="293">
                  <c:v>45517</c:v>
                </c:pt>
                <c:pt idx="294">
                  <c:v>45516</c:v>
                </c:pt>
                <c:pt idx="295">
                  <c:v>45513</c:v>
                </c:pt>
                <c:pt idx="296">
                  <c:v>45512</c:v>
                </c:pt>
                <c:pt idx="297">
                  <c:v>45511</c:v>
                </c:pt>
                <c:pt idx="298">
                  <c:v>45510</c:v>
                </c:pt>
                <c:pt idx="299">
                  <c:v>45509</c:v>
                </c:pt>
                <c:pt idx="300">
                  <c:v>45506</c:v>
                </c:pt>
                <c:pt idx="301">
                  <c:v>45505</c:v>
                </c:pt>
                <c:pt idx="302">
                  <c:v>45504</c:v>
                </c:pt>
                <c:pt idx="303">
                  <c:v>45503</c:v>
                </c:pt>
                <c:pt idx="304">
                  <c:v>45502</c:v>
                </c:pt>
                <c:pt idx="305">
                  <c:v>45499</c:v>
                </c:pt>
                <c:pt idx="306">
                  <c:v>45498</c:v>
                </c:pt>
                <c:pt idx="307">
                  <c:v>45497</c:v>
                </c:pt>
                <c:pt idx="308">
                  <c:v>45496</c:v>
                </c:pt>
                <c:pt idx="309">
                  <c:v>45495</c:v>
                </c:pt>
                <c:pt idx="310">
                  <c:v>45492</c:v>
                </c:pt>
                <c:pt idx="311">
                  <c:v>45491</c:v>
                </c:pt>
                <c:pt idx="312">
                  <c:v>45490</c:v>
                </c:pt>
                <c:pt idx="313">
                  <c:v>45489</c:v>
                </c:pt>
                <c:pt idx="314">
                  <c:v>45488</c:v>
                </c:pt>
                <c:pt idx="315">
                  <c:v>45485</c:v>
                </c:pt>
                <c:pt idx="316">
                  <c:v>45484</c:v>
                </c:pt>
                <c:pt idx="317">
                  <c:v>45483</c:v>
                </c:pt>
                <c:pt idx="318">
                  <c:v>45482</c:v>
                </c:pt>
                <c:pt idx="319">
                  <c:v>45481</c:v>
                </c:pt>
                <c:pt idx="320">
                  <c:v>45478</c:v>
                </c:pt>
                <c:pt idx="321">
                  <c:v>45476</c:v>
                </c:pt>
                <c:pt idx="322">
                  <c:v>45475</c:v>
                </c:pt>
                <c:pt idx="323">
                  <c:v>45474</c:v>
                </c:pt>
                <c:pt idx="324">
                  <c:v>45471</c:v>
                </c:pt>
                <c:pt idx="325">
                  <c:v>45470</c:v>
                </c:pt>
                <c:pt idx="326">
                  <c:v>45469</c:v>
                </c:pt>
                <c:pt idx="327">
                  <c:v>45468</c:v>
                </c:pt>
                <c:pt idx="328">
                  <c:v>45467</c:v>
                </c:pt>
                <c:pt idx="329">
                  <c:v>45464</c:v>
                </c:pt>
                <c:pt idx="330">
                  <c:v>45463</c:v>
                </c:pt>
                <c:pt idx="331">
                  <c:v>45461</c:v>
                </c:pt>
                <c:pt idx="332">
                  <c:v>45460</c:v>
                </c:pt>
                <c:pt idx="333">
                  <c:v>45457</c:v>
                </c:pt>
                <c:pt idx="334">
                  <c:v>45456</c:v>
                </c:pt>
                <c:pt idx="335">
                  <c:v>45455</c:v>
                </c:pt>
                <c:pt idx="336">
                  <c:v>45454</c:v>
                </c:pt>
                <c:pt idx="337">
                  <c:v>45453</c:v>
                </c:pt>
                <c:pt idx="338">
                  <c:v>45450</c:v>
                </c:pt>
                <c:pt idx="339">
                  <c:v>45449</c:v>
                </c:pt>
                <c:pt idx="340">
                  <c:v>45448</c:v>
                </c:pt>
                <c:pt idx="341">
                  <c:v>45447</c:v>
                </c:pt>
                <c:pt idx="342">
                  <c:v>45446</c:v>
                </c:pt>
                <c:pt idx="343">
                  <c:v>45443</c:v>
                </c:pt>
                <c:pt idx="344">
                  <c:v>45442</c:v>
                </c:pt>
                <c:pt idx="345">
                  <c:v>45441</c:v>
                </c:pt>
                <c:pt idx="346">
                  <c:v>45440</c:v>
                </c:pt>
                <c:pt idx="347">
                  <c:v>45436</c:v>
                </c:pt>
                <c:pt idx="348">
                  <c:v>45435</c:v>
                </c:pt>
                <c:pt idx="349">
                  <c:v>45434</c:v>
                </c:pt>
                <c:pt idx="350">
                  <c:v>45433</c:v>
                </c:pt>
                <c:pt idx="351">
                  <c:v>45432</c:v>
                </c:pt>
                <c:pt idx="352">
                  <c:v>45429</c:v>
                </c:pt>
                <c:pt idx="353">
                  <c:v>45428</c:v>
                </c:pt>
                <c:pt idx="354">
                  <c:v>45427</c:v>
                </c:pt>
                <c:pt idx="355">
                  <c:v>45426</c:v>
                </c:pt>
                <c:pt idx="356">
                  <c:v>45425</c:v>
                </c:pt>
                <c:pt idx="357">
                  <c:v>45422</c:v>
                </c:pt>
                <c:pt idx="358">
                  <c:v>45421</c:v>
                </c:pt>
                <c:pt idx="359">
                  <c:v>45420</c:v>
                </c:pt>
                <c:pt idx="360">
                  <c:v>45419</c:v>
                </c:pt>
                <c:pt idx="361">
                  <c:v>45418</c:v>
                </c:pt>
                <c:pt idx="362">
                  <c:v>45415</c:v>
                </c:pt>
                <c:pt idx="363">
                  <c:v>45414</c:v>
                </c:pt>
                <c:pt idx="364">
                  <c:v>45413</c:v>
                </c:pt>
                <c:pt idx="365">
                  <c:v>45412</c:v>
                </c:pt>
                <c:pt idx="366">
                  <c:v>45411</c:v>
                </c:pt>
                <c:pt idx="367">
                  <c:v>45408</c:v>
                </c:pt>
                <c:pt idx="368">
                  <c:v>45407</c:v>
                </c:pt>
                <c:pt idx="369">
                  <c:v>45406</c:v>
                </c:pt>
                <c:pt idx="370">
                  <c:v>45405</c:v>
                </c:pt>
                <c:pt idx="371">
                  <c:v>45404</c:v>
                </c:pt>
                <c:pt idx="372">
                  <c:v>45401</c:v>
                </c:pt>
                <c:pt idx="373">
                  <c:v>45400</c:v>
                </c:pt>
                <c:pt idx="374">
                  <c:v>45399</c:v>
                </c:pt>
                <c:pt idx="375">
                  <c:v>45398</c:v>
                </c:pt>
                <c:pt idx="376">
                  <c:v>45397</c:v>
                </c:pt>
                <c:pt idx="377">
                  <c:v>45394</c:v>
                </c:pt>
                <c:pt idx="378">
                  <c:v>45393</c:v>
                </c:pt>
                <c:pt idx="379">
                  <c:v>45392</c:v>
                </c:pt>
                <c:pt idx="380">
                  <c:v>45391</c:v>
                </c:pt>
                <c:pt idx="381">
                  <c:v>45390</c:v>
                </c:pt>
                <c:pt idx="382">
                  <c:v>45387</c:v>
                </c:pt>
                <c:pt idx="383">
                  <c:v>45386</c:v>
                </c:pt>
                <c:pt idx="384">
                  <c:v>45385</c:v>
                </c:pt>
                <c:pt idx="385">
                  <c:v>45384</c:v>
                </c:pt>
                <c:pt idx="386">
                  <c:v>45383</c:v>
                </c:pt>
                <c:pt idx="387">
                  <c:v>45379</c:v>
                </c:pt>
                <c:pt idx="388">
                  <c:v>45378</c:v>
                </c:pt>
                <c:pt idx="389">
                  <c:v>45377</c:v>
                </c:pt>
                <c:pt idx="390">
                  <c:v>45376</c:v>
                </c:pt>
                <c:pt idx="391">
                  <c:v>45373</c:v>
                </c:pt>
                <c:pt idx="392">
                  <c:v>45372</c:v>
                </c:pt>
                <c:pt idx="393">
                  <c:v>45371</c:v>
                </c:pt>
                <c:pt idx="394">
                  <c:v>45370</c:v>
                </c:pt>
                <c:pt idx="395">
                  <c:v>45369</c:v>
                </c:pt>
                <c:pt idx="396">
                  <c:v>45366</c:v>
                </c:pt>
                <c:pt idx="397">
                  <c:v>45365</c:v>
                </c:pt>
                <c:pt idx="398">
                  <c:v>45364</c:v>
                </c:pt>
                <c:pt idx="399">
                  <c:v>45363</c:v>
                </c:pt>
                <c:pt idx="400">
                  <c:v>45362</c:v>
                </c:pt>
                <c:pt idx="401">
                  <c:v>45359</c:v>
                </c:pt>
                <c:pt idx="402">
                  <c:v>45358</c:v>
                </c:pt>
                <c:pt idx="403">
                  <c:v>45357</c:v>
                </c:pt>
                <c:pt idx="404">
                  <c:v>45356</c:v>
                </c:pt>
                <c:pt idx="405">
                  <c:v>45355</c:v>
                </c:pt>
                <c:pt idx="406">
                  <c:v>45352</c:v>
                </c:pt>
                <c:pt idx="407">
                  <c:v>45351</c:v>
                </c:pt>
                <c:pt idx="408">
                  <c:v>45350</c:v>
                </c:pt>
                <c:pt idx="409">
                  <c:v>45349</c:v>
                </c:pt>
                <c:pt idx="410">
                  <c:v>45348</c:v>
                </c:pt>
                <c:pt idx="411">
                  <c:v>45345</c:v>
                </c:pt>
                <c:pt idx="412">
                  <c:v>45344</c:v>
                </c:pt>
                <c:pt idx="413">
                  <c:v>45343</c:v>
                </c:pt>
                <c:pt idx="414">
                  <c:v>45342</c:v>
                </c:pt>
                <c:pt idx="415">
                  <c:v>45338</c:v>
                </c:pt>
                <c:pt idx="416">
                  <c:v>45337</c:v>
                </c:pt>
                <c:pt idx="417">
                  <c:v>45336</c:v>
                </c:pt>
                <c:pt idx="418">
                  <c:v>45335</c:v>
                </c:pt>
                <c:pt idx="419">
                  <c:v>45334</c:v>
                </c:pt>
                <c:pt idx="420">
                  <c:v>45331</c:v>
                </c:pt>
                <c:pt idx="421">
                  <c:v>45330</c:v>
                </c:pt>
                <c:pt idx="422">
                  <c:v>45329</c:v>
                </c:pt>
                <c:pt idx="423">
                  <c:v>45328</c:v>
                </c:pt>
                <c:pt idx="424">
                  <c:v>45327</c:v>
                </c:pt>
                <c:pt idx="425">
                  <c:v>45324</c:v>
                </c:pt>
                <c:pt idx="426">
                  <c:v>45323</c:v>
                </c:pt>
                <c:pt idx="427">
                  <c:v>45322</c:v>
                </c:pt>
                <c:pt idx="428">
                  <c:v>45321</c:v>
                </c:pt>
                <c:pt idx="429">
                  <c:v>45320</c:v>
                </c:pt>
                <c:pt idx="430">
                  <c:v>45317</c:v>
                </c:pt>
                <c:pt idx="431">
                  <c:v>45316</c:v>
                </c:pt>
                <c:pt idx="432">
                  <c:v>45315</c:v>
                </c:pt>
                <c:pt idx="433">
                  <c:v>45314</c:v>
                </c:pt>
                <c:pt idx="434">
                  <c:v>45313</c:v>
                </c:pt>
                <c:pt idx="435">
                  <c:v>45310</c:v>
                </c:pt>
                <c:pt idx="436">
                  <c:v>45309</c:v>
                </c:pt>
                <c:pt idx="437">
                  <c:v>45308</c:v>
                </c:pt>
                <c:pt idx="438">
                  <c:v>45307</c:v>
                </c:pt>
                <c:pt idx="439">
                  <c:v>45303</c:v>
                </c:pt>
                <c:pt idx="440">
                  <c:v>45302</c:v>
                </c:pt>
                <c:pt idx="441">
                  <c:v>45301</c:v>
                </c:pt>
                <c:pt idx="442">
                  <c:v>45300</c:v>
                </c:pt>
                <c:pt idx="443">
                  <c:v>45299</c:v>
                </c:pt>
                <c:pt idx="444">
                  <c:v>45296</c:v>
                </c:pt>
                <c:pt idx="445">
                  <c:v>45295</c:v>
                </c:pt>
                <c:pt idx="446">
                  <c:v>45294</c:v>
                </c:pt>
                <c:pt idx="447">
                  <c:v>45293</c:v>
                </c:pt>
                <c:pt idx="448">
                  <c:v>45289</c:v>
                </c:pt>
                <c:pt idx="449">
                  <c:v>45288</c:v>
                </c:pt>
                <c:pt idx="450">
                  <c:v>45287</c:v>
                </c:pt>
                <c:pt idx="451">
                  <c:v>45286</c:v>
                </c:pt>
                <c:pt idx="452">
                  <c:v>45282</c:v>
                </c:pt>
                <c:pt idx="453">
                  <c:v>45281</c:v>
                </c:pt>
                <c:pt idx="454">
                  <c:v>45280</c:v>
                </c:pt>
                <c:pt idx="455">
                  <c:v>45279</c:v>
                </c:pt>
                <c:pt idx="456">
                  <c:v>45278</c:v>
                </c:pt>
                <c:pt idx="457">
                  <c:v>45275</c:v>
                </c:pt>
                <c:pt idx="458">
                  <c:v>45274</c:v>
                </c:pt>
                <c:pt idx="459">
                  <c:v>45273</c:v>
                </c:pt>
                <c:pt idx="460">
                  <c:v>45272</c:v>
                </c:pt>
                <c:pt idx="461">
                  <c:v>45271</c:v>
                </c:pt>
                <c:pt idx="462">
                  <c:v>45268</c:v>
                </c:pt>
                <c:pt idx="463">
                  <c:v>45267</c:v>
                </c:pt>
                <c:pt idx="464">
                  <c:v>45266</c:v>
                </c:pt>
                <c:pt idx="465">
                  <c:v>45265</c:v>
                </c:pt>
                <c:pt idx="466">
                  <c:v>45264</c:v>
                </c:pt>
                <c:pt idx="467">
                  <c:v>45261</c:v>
                </c:pt>
                <c:pt idx="468">
                  <c:v>45260</c:v>
                </c:pt>
                <c:pt idx="469">
                  <c:v>45259</c:v>
                </c:pt>
                <c:pt idx="470">
                  <c:v>45258</c:v>
                </c:pt>
                <c:pt idx="471">
                  <c:v>45257</c:v>
                </c:pt>
                <c:pt idx="472">
                  <c:v>45254</c:v>
                </c:pt>
                <c:pt idx="473">
                  <c:v>45252</c:v>
                </c:pt>
                <c:pt idx="474">
                  <c:v>45251</c:v>
                </c:pt>
                <c:pt idx="475">
                  <c:v>45250</c:v>
                </c:pt>
                <c:pt idx="476">
                  <c:v>45247</c:v>
                </c:pt>
                <c:pt idx="477">
                  <c:v>45246</c:v>
                </c:pt>
                <c:pt idx="478">
                  <c:v>45245</c:v>
                </c:pt>
                <c:pt idx="479">
                  <c:v>45244</c:v>
                </c:pt>
                <c:pt idx="480">
                  <c:v>45243</c:v>
                </c:pt>
                <c:pt idx="481">
                  <c:v>45240</c:v>
                </c:pt>
                <c:pt idx="482">
                  <c:v>45239</c:v>
                </c:pt>
                <c:pt idx="483">
                  <c:v>45238</c:v>
                </c:pt>
                <c:pt idx="484">
                  <c:v>45237</c:v>
                </c:pt>
                <c:pt idx="485">
                  <c:v>45236</c:v>
                </c:pt>
                <c:pt idx="486">
                  <c:v>45233</c:v>
                </c:pt>
                <c:pt idx="487">
                  <c:v>45232</c:v>
                </c:pt>
                <c:pt idx="488">
                  <c:v>45231</c:v>
                </c:pt>
                <c:pt idx="489">
                  <c:v>45230</c:v>
                </c:pt>
                <c:pt idx="490">
                  <c:v>45229</c:v>
                </c:pt>
                <c:pt idx="491">
                  <c:v>45226</c:v>
                </c:pt>
                <c:pt idx="492">
                  <c:v>45225</c:v>
                </c:pt>
                <c:pt idx="493">
                  <c:v>45224</c:v>
                </c:pt>
                <c:pt idx="494">
                  <c:v>45223</c:v>
                </c:pt>
                <c:pt idx="495">
                  <c:v>45222</c:v>
                </c:pt>
                <c:pt idx="496">
                  <c:v>45219</c:v>
                </c:pt>
                <c:pt idx="497">
                  <c:v>45218</c:v>
                </c:pt>
                <c:pt idx="498">
                  <c:v>45217</c:v>
                </c:pt>
                <c:pt idx="499">
                  <c:v>45216</c:v>
                </c:pt>
                <c:pt idx="500">
                  <c:v>45215</c:v>
                </c:pt>
                <c:pt idx="501">
                  <c:v>45212</c:v>
                </c:pt>
                <c:pt idx="502">
                  <c:v>45211</c:v>
                </c:pt>
                <c:pt idx="503">
                  <c:v>45210</c:v>
                </c:pt>
                <c:pt idx="504">
                  <c:v>45209</c:v>
                </c:pt>
                <c:pt idx="505">
                  <c:v>45208</c:v>
                </c:pt>
                <c:pt idx="506">
                  <c:v>45205</c:v>
                </c:pt>
                <c:pt idx="507">
                  <c:v>45204</c:v>
                </c:pt>
                <c:pt idx="508">
                  <c:v>45203</c:v>
                </c:pt>
                <c:pt idx="509">
                  <c:v>45202</c:v>
                </c:pt>
                <c:pt idx="510">
                  <c:v>45201</c:v>
                </c:pt>
                <c:pt idx="511">
                  <c:v>45198</c:v>
                </c:pt>
                <c:pt idx="512">
                  <c:v>45197</c:v>
                </c:pt>
                <c:pt idx="513">
                  <c:v>45196</c:v>
                </c:pt>
                <c:pt idx="514">
                  <c:v>45195</c:v>
                </c:pt>
                <c:pt idx="515">
                  <c:v>45194</c:v>
                </c:pt>
                <c:pt idx="516">
                  <c:v>45191</c:v>
                </c:pt>
                <c:pt idx="517">
                  <c:v>45190</c:v>
                </c:pt>
                <c:pt idx="518">
                  <c:v>45189</c:v>
                </c:pt>
                <c:pt idx="519">
                  <c:v>45188</c:v>
                </c:pt>
                <c:pt idx="520">
                  <c:v>45187</c:v>
                </c:pt>
                <c:pt idx="521">
                  <c:v>45184</c:v>
                </c:pt>
                <c:pt idx="522">
                  <c:v>45183</c:v>
                </c:pt>
                <c:pt idx="523">
                  <c:v>45182</c:v>
                </c:pt>
                <c:pt idx="524">
                  <c:v>45181</c:v>
                </c:pt>
                <c:pt idx="525">
                  <c:v>45180</c:v>
                </c:pt>
                <c:pt idx="526">
                  <c:v>45177</c:v>
                </c:pt>
                <c:pt idx="527">
                  <c:v>45176</c:v>
                </c:pt>
                <c:pt idx="528">
                  <c:v>45175</c:v>
                </c:pt>
                <c:pt idx="529">
                  <c:v>45174</c:v>
                </c:pt>
                <c:pt idx="530">
                  <c:v>45170</c:v>
                </c:pt>
                <c:pt idx="531">
                  <c:v>45169</c:v>
                </c:pt>
                <c:pt idx="532">
                  <c:v>45168</c:v>
                </c:pt>
                <c:pt idx="533">
                  <c:v>45167</c:v>
                </c:pt>
                <c:pt idx="534">
                  <c:v>45166</c:v>
                </c:pt>
                <c:pt idx="535">
                  <c:v>45163</c:v>
                </c:pt>
                <c:pt idx="536">
                  <c:v>45162</c:v>
                </c:pt>
                <c:pt idx="537">
                  <c:v>45161</c:v>
                </c:pt>
                <c:pt idx="538">
                  <c:v>45160</c:v>
                </c:pt>
                <c:pt idx="539">
                  <c:v>45159</c:v>
                </c:pt>
                <c:pt idx="540">
                  <c:v>45156</c:v>
                </c:pt>
                <c:pt idx="541">
                  <c:v>45155</c:v>
                </c:pt>
                <c:pt idx="542">
                  <c:v>45154</c:v>
                </c:pt>
                <c:pt idx="543">
                  <c:v>45153</c:v>
                </c:pt>
                <c:pt idx="544">
                  <c:v>45152</c:v>
                </c:pt>
                <c:pt idx="545">
                  <c:v>45149</c:v>
                </c:pt>
                <c:pt idx="546">
                  <c:v>45148</c:v>
                </c:pt>
                <c:pt idx="547">
                  <c:v>45147</c:v>
                </c:pt>
                <c:pt idx="548">
                  <c:v>45146</c:v>
                </c:pt>
                <c:pt idx="549">
                  <c:v>45145</c:v>
                </c:pt>
                <c:pt idx="550">
                  <c:v>45142</c:v>
                </c:pt>
                <c:pt idx="551">
                  <c:v>45141</c:v>
                </c:pt>
                <c:pt idx="552">
                  <c:v>45140</c:v>
                </c:pt>
                <c:pt idx="553">
                  <c:v>45139</c:v>
                </c:pt>
                <c:pt idx="554">
                  <c:v>45138</c:v>
                </c:pt>
                <c:pt idx="555">
                  <c:v>45135</c:v>
                </c:pt>
                <c:pt idx="556">
                  <c:v>45134</c:v>
                </c:pt>
                <c:pt idx="557">
                  <c:v>45133</c:v>
                </c:pt>
                <c:pt idx="558">
                  <c:v>45132</c:v>
                </c:pt>
                <c:pt idx="559">
                  <c:v>45131</c:v>
                </c:pt>
                <c:pt idx="560">
                  <c:v>45128</c:v>
                </c:pt>
                <c:pt idx="561">
                  <c:v>45127</c:v>
                </c:pt>
                <c:pt idx="562">
                  <c:v>45126</c:v>
                </c:pt>
                <c:pt idx="563">
                  <c:v>45125</c:v>
                </c:pt>
                <c:pt idx="564">
                  <c:v>45124</c:v>
                </c:pt>
                <c:pt idx="565">
                  <c:v>45121</c:v>
                </c:pt>
                <c:pt idx="566">
                  <c:v>45120</c:v>
                </c:pt>
                <c:pt idx="567">
                  <c:v>45119</c:v>
                </c:pt>
                <c:pt idx="568">
                  <c:v>45118</c:v>
                </c:pt>
                <c:pt idx="569">
                  <c:v>45117</c:v>
                </c:pt>
                <c:pt idx="570">
                  <c:v>45114</c:v>
                </c:pt>
                <c:pt idx="571">
                  <c:v>45113</c:v>
                </c:pt>
                <c:pt idx="572">
                  <c:v>45112</c:v>
                </c:pt>
                <c:pt idx="573">
                  <c:v>45110</c:v>
                </c:pt>
                <c:pt idx="574">
                  <c:v>45107</c:v>
                </c:pt>
                <c:pt idx="575">
                  <c:v>45106</c:v>
                </c:pt>
                <c:pt idx="576">
                  <c:v>45105</c:v>
                </c:pt>
                <c:pt idx="577">
                  <c:v>45104</c:v>
                </c:pt>
                <c:pt idx="578">
                  <c:v>45103</c:v>
                </c:pt>
                <c:pt idx="579">
                  <c:v>45100</c:v>
                </c:pt>
                <c:pt idx="580">
                  <c:v>45099</c:v>
                </c:pt>
                <c:pt idx="581">
                  <c:v>45098</c:v>
                </c:pt>
                <c:pt idx="582">
                  <c:v>45097</c:v>
                </c:pt>
                <c:pt idx="583">
                  <c:v>45093</c:v>
                </c:pt>
                <c:pt idx="584">
                  <c:v>45092</c:v>
                </c:pt>
                <c:pt idx="585">
                  <c:v>45091</c:v>
                </c:pt>
                <c:pt idx="586">
                  <c:v>45090</c:v>
                </c:pt>
                <c:pt idx="587">
                  <c:v>45089</c:v>
                </c:pt>
                <c:pt idx="588">
                  <c:v>45086</c:v>
                </c:pt>
                <c:pt idx="589">
                  <c:v>45085</c:v>
                </c:pt>
                <c:pt idx="590">
                  <c:v>45084</c:v>
                </c:pt>
                <c:pt idx="591">
                  <c:v>45083</c:v>
                </c:pt>
                <c:pt idx="592">
                  <c:v>45082</c:v>
                </c:pt>
                <c:pt idx="593">
                  <c:v>45079</c:v>
                </c:pt>
                <c:pt idx="594">
                  <c:v>45078</c:v>
                </c:pt>
                <c:pt idx="595">
                  <c:v>45077</c:v>
                </c:pt>
                <c:pt idx="596">
                  <c:v>45076</c:v>
                </c:pt>
                <c:pt idx="597">
                  <c:v>45072</c:v>
                </c:pt>
                <c:pt idx="598">
                  <c:v>45071</c:v>
                </c:pt>
                <c:pt idx="599">
                  <c:v>45070</c:v>
                </c:pt>
                <c:pt idx="600">
                  <c:v>45069</c:v>
                </c:pt>
                <c:pt idx="601">
                  <c:v>45068</c:v>
                </c:pt>
                <c:pt idx="602">
                  <c:v>45065</c:v>
                </c:pt>
                <c:pt idx="603">
                  <c:v>45064</c:v>
                </c:pt>
                <c:pt idx="604">
                  <c:v>45063</c:v>
                </c:pt>
                <c:pt idx="605">
                  <c:v>45062</c:v>
                </c:pt>
                <c:pt idx="606">
                  <c:v>45061</c:v>
                </c:pt>
                <c:pt idx="607">
                  <c:v>45058</c:v>
                </c:pt>
                <c:pt idx="608">
                  <c:v>45057</c:v>
                </c:pt>
                <c:pt idx="609">
                  <c:v>45056</c:v>
                </c:pt>
                <c:pt idx="610">
                  <c:v>45055</c:v>
                </c:pt>
                <c:pt idx="611">
                  <c:v>45054</c:v>
                </c:pt>
                <c:pt idx="612">
                  <c:v>45051</c:v>
                </c:pt>
                <c:pt idx="613">
                  <c:v>45050</c:v>
                </c:pt>
                <c:pt idx="614">
                  <c:v>45049</c:v>
                </c:pt>
                <c:pt idx="615">
                  <c:v>45048</c:v>
                </c:pt>
                <c:pt idx="616">
                  <c:v>45047</c:v>
                </c:pt>
                <c:pt idx="617">
                  <c:v>45044</c:v>
                </c:pt>
                <c:pt idx="618">
                  <c:v>45043</c:v>
                </c:pt>
                <c:pt idx="619">
                  <c:v>45042</c:v>
                </c:pt>
                <c:pt idx="620">
                  <c:v>45041</c:v>
                </c:pt>
                <c:pt idx="621">
                  <c:v>45040</c:v>
                </c:pt>
                <c:pt idx="622">
                  <c:v>45037</c:v>
                </c:pt>
                <c:pt idx="623">
                  <c:v>45036</c:v>
                </c:pt>
                <c:pt idx="624">
                  <c:v>45035</c:v>
                </c:pt>
                <c:pt idx="625">
                  <c:v>45034</c:v>
                </c:pt>
                <c:pt idx="626">
                  <c:v>45033</c:v>
                </c:pt>
                <c:pt idx="627">
                  <c:v>45030</c:v>
                </c:pt>
                <c:pt idx="628">
                  <c:v>45029</c:v>
                </c:pt>
                <c:pt idx="629">
                  <c:v>45028</c:v>
                </c:pt>
                <c:pt idx="630">
                  <c:v>45027</c:v>
                </c:pt>
                <c:pt idx="631">
                  <c:v>45026</c:v>
                </c:pt>
                <c:pt idx="632">
                  <c:v>45022</c:v>
                </c:pt>
                <c:pt idx="633">
                  <c:v>45021</c:v>
                </c:pt>
                <c:pt idx="634">
                  <c:v>45020</c:v>
                </c:pt>
                <c:pt idx="635">
                  <c:v>45019</c:v>
                </c:pt>
                <c:pt idx="636">
                  <c:v>45016</c:v>
                </c:pt>
                <c:pt idx="637">
                  <c:v>45015</c:v>
                </c:pt>
                <c:pt idx="638">
                  <c:v>45014</c:v>
                </c:pt>
                <c:pt idx="639">
                  <c:v>45013</c:v>
                </c:pt>
                <c:pt idx="640">
                  <c:v>45012</c:v>
                </c:pt>
                <c:pt idx="641">
                  <c:v>45009</c:v>
                </c:pt>
                <c:pt idx="642">
                  <c:v>45008</c:v>
                </c:pt>
                <c:pt idx="643">
                  <c:v>45007</c:v>
                </c:pt>
                <c:pt idx="644">
                  <c:v>45006</c:v>
                </c:pt>
                <c:pt idx="645">
                  <c:v>45005</c:v>
                </c:pt>
                <c:pt idx="646">
                  <c:v>45002</c:v>
                </c:pt>
                <c:pt idx="647">
                  <c:v>45001</c:v>
                </c:pt>
                <c:pt idx="648">
                  <c:v>45000</c:v>
                </c:pt>
                <c:pt idx="649">
                  <c:v>44999</c:v>
                </c:pt>
                <c:pt idx="650">
                  <c:v>44998</c:v>
                </c:pt>
                <c:pt idx="651">
                  <c:v>44995</c:v>
                </c:pt>
                <c:pt idx="652">
                  <c:v>44994</c:v>
                </c:pt>
                <c:pt idx="653">
                  <c:v>44993</c:v>
                </c:pt>
                <c:pt idx="654">
                  <c:v>44992</c:v>
                </c:pt>
                <c:pt idx="655">
                  <c:v>44991</c:v>
                </c:pt>
                <c:pt idx="656">
                  <c:v>44988</c:v>
                </c:pt>
                <c:pt idx="657">
                  <c:v>44987</c:v>
                </c:pt>
                <c:pt idx="658">
                  <c:v>44986</c:v>
                </c:pt>
                <c:pt idx="659">
                  <c:v>44985</c:v>
                </c:pt>
                <c:pt idx="660">
                  <c:v>44984</c:v>
                </c:pt>
                <c:pt idx="661">
                  <c:v>44981</c:v>
                </c:pt>
                <c:pt idx="662">
                  <c:v>44980</c:v>
                </c:pt>
                <c:pt idx="663">
                  <c:v>44979</c:v>
                </c:pt>
                <c:pt idx="664">
                  <c:v>44978</c:v>
                </c:pt>
                <c:pt idx="665">
                  <c:v>44974</c:v>
                </c:pt>
                <c:pt idx="666">
                  <c:v>44973</c:v>
                </c:pt>
                <c:pt idx="667">
                  <c:v>44972</c:v>
                </c:pt>
                <c:pt idx="668">
                  <c:v>44971</c:v>
                </c:pt>
                <c:pt idx="669">
                  <c:v>44970</c:v>
                </c:pt>
                <c:pt idx="670">
                  <c:v>44967</c:v>
                </c:pt>
                <c:pt idx="671">
                  <c:v>44966</c:v>
                </c:pt>
                <c:pt idx="672">
                  <c:v>44965</c:v>
                </c:pt>
                <c:pt idx="673">
                  <c:v>44964</c:v>
                </c:pt>
                <c:pt idx="674">
                  <c:v>44963</c:v>
                </c:pt>
                <c:pt idx="675">
                  <c:v>44960</c:v>
                </c:pt>
                <c:pt idx="676">
                  <c:v>44959</c:v>
                </c:pt>
                <c:pt idx="677">
                  <c:v>44958</c:v>
                </c:pt>
                <c:pt idx="678">
                  <c:v>44957</c:v>
                </c:pt>
                <c:pt idx="679">
                  <c:v>44956</c:v>
                </c:pt>
                <c:pt idx="680">
                  <c:v>44953</c:v>
                </c:pt>
                <c:pt idx="681">
                  <c:v>44952</c:v>
                </c:pt>
                <c:pt idx="682">
                  <c:v>44951</c:v>
                </c:pt>
                <c:pt idx="683">
                  <c:v>44950</c:v>
                </c:pt>
                <c:pt idx="684">
                  <c:v>44949</c:v>
                </c:pt>
                <c:pt idx="685">
                  <c:v>44946</c:v>
                </c:pt>
                <c:pt idx="686">
                  <c:v>44945</c:v>
                </c:pt>
                <c:pt idx="687">
                  <c:v>44944</c:v>
                </c:pt>
                <c:pt idx="688">
                  <c:v>44943</c:v>
                </c:pt>
                <c:pt idx="689">
                  <c:v>44939</c:v>
                </c:pt>
                <c:pt idx="690">
                  <c:v>44938</c:v>
                </c:pt>
                <c:pt idx="691">
                  <c:v>44937</c:v>
                </c:pt>
                <c:pt idx="692">
                  <c:v>44936</c:v>
                </c:pt>
              </c:numCache>
            </c:numRef>
          </c:cat>
          <c:val>
            <c:numRef>
              <c:f>' Rolling-window portfolio analy'!$J$62:$J$754</c:f>
              <c:numCache>
                <c:formatCode>0.0000%</c:formatCode>
                <c:ptCount val="693"/>
                <c:pt idx="0">
                  <c:v>-7.1386956013007232E-4</c:v>
                </c:pt>
                <c:pt idx="1">
                  <c:v>-5.0317914840364135E-4</c:v>
                </c:pt>
                <c:pt idx="2">
                  <c:v>-8.0553516820238455E-4</c:v>
                </c:pt>
                <c:pt idx="3">
                  <c:v>-3.3382194607385726E-4</c:v>
                </c:pt>
                <c:pt idx="4">
                  <c:v>-5.0699670072811226E-5</c:v>
                </c:pt>
                <c:pt idx="5">
                  <c:v>-1.3299362376942783E-4</c:v>
                </c:pt>
                <c:pt idx="6">
                  <c:v>-4.3592840449910693E-4</c:v>
                </c:pt>
                <c:pt idx="7">
                  <c:v>-5.0349045754583899E-4</c:v>
                </c:pt>
                <c:pt idx="8">
                  <c:v>-3.6035379944199952E-4</c:v>
                </c:pt>
                <c:pt idx="9">
                  <c:v>-5.146263922076571E-4</c:v>
                </c:pt>
                <c:pt idx="10">
                  <c:v>-3.0706587921986957E-4</c:v>
                </c:pt>
                <c:pt idx="11">
                  <c:v>-3.797405199402909E-4</c:v>
                </c:pt>
                <c:pt idx="12">
                  <c:v>-4.909502225000803E-4</c:v>
                </c:pt>
                <c:pt idx="13">
                  <c:v>-4.6182446123932126E-4</c:v>
                </c:pt>
                <c:pt idx="14">
                  <c:v>-4.7390046168821779E-4</c:v>
                </c:pt>
                <c:pt idx="15">
                  <c:v>-4.6117319222996382E-4</c:v>
                </c:pt>
                <c:pt idx="16">
                  <c:v>-5.745333258296481E-5</c:v>
                </c:pt>
                <c:pt idx="17">
                  <c:v>-7.672024169149414E-5</c:v>
                </c:pt>
                <c:pt idx="18">
                  <c:v>3.0222429886255344E-4</c:v>
                </c:pt>
                <c:pt idx="19">
                  <c:v>2.7068781577280969E-4</c:v>
                </c:pt>
                <c:pt idx="20">
                  <c:v>3.7570267036931703E-4</c:v>
                </c:pt>
                <c:pt idx="21">
                  <c:v>3.0837734152627892E-4</c:v>
                </c:pt>
                <c:pt idx="22">
                  <c:v>2.1198705472700924E-4</c:v>
                </c:pt>
                <c:pt idx="23">
                  <c:v>2.4138075586202924E-4</c:v>
                </c:pt>
                <c:pt idx="24">
                  <c:v>3.3314186578480747E-4</c:v>
                </c:pt>
                <c:pt idx="25">
                  <c:v>5.3431638544597609E-4</c:v>
                </c:pt>
                <c:pt idx="26">
                  <c:v>4.819946124536849E-4</c:v>
                </c:pt>
                <c:pt idx="27">
                  <c:v>-1.7618988672231514E-4</c:v>
                </c:pt>
                <c:pt idx="28">
                  <c:v>3.0425526517029351E-5</c:v>
                </c:pt>
                <c:pt idx="29">
                  <c:v>4.7933108404210308E-5</c:v>
                </c:pt>
                <c:pt idx="30">
                  <c:v>4.4135148564154779E-4</c:v>
                </c:pt>
                <c:pt idx="31">
                  <c:v>3.5077311883989363E-4</c:v>
                </c:pt>
                <c:pt idx="32">
                  <c:v>5.1919787625628747E-4</c:v>
                </c:pt>
                <c:pt idx="33">
                  <c:v>4.0512959531347598E-4</c:v>
                </c:pt>
                <c:pt idx="34">
                  <c:v>2.184589593547966E-4</c:v>
                </c:pt>
                <c:pt idx="35">
                  <c:v>5.0591865508371617E-4</c:v>
                </c:pt>
                <c:pt idx="36">
                  <c:v>4.3928991987674513E-4</c:v>
                </c:pt>
                <c:pt idx="37">
                  <c:v>2.9086794138428063E-4</c:v>
                </c:pt>
                <c:pt idx="38">
                  <c:v>1.7491531856165784E-4</c:v>
                </c:pt>
                <c:pt idx="39">
                  <c:v>-2.0149932717031553E-5</c:v>
                </c:pt>
                <c:pt idx="40">
                  <c:v>3.5818399291261951E-4</c:v>
                </c:pt>
                <c:pt idx="41">
                  <c:v>1.2482975758898733E-4</c:v>
                </c:pt>
                <c:pt idx="42">
                  <c:v>1.7971564747900118E-4</c:v>
                </c:pt>
                <c:pt idx="43">
                  <c:v>1.8557739928547505E-4</c:v>
                </c:pt>
                <c:pt idx="44">
                  <c:v>2.6037970732423633E-4</c:v>
                </c:pt>
                <c:pt idx="45">
                  <c:v>4.8571654150047442E-4</c:v>
                </c:pt>
                <c:pt idx="46">
                  <c:v>3.9442078518861631E-4</c:v>
                </c:pt>
                <c:pt idx="47">
                  <c:v>7.2555289091131561E-4</c:v>
                </c:pt>
                <c:pt idx="48">
                  <c:v>6.9379269127365934E-4</c:v>
                </c:pt>
                <c:pt idx="49">
                  <c:v>3.4887500147752709E-4</c:v>
                </c:pt>
                <c:pt idx="50">
                  <c:v>-1.383879784291873E-4</c:v>
                </c:pt>
                <c:pt idx="51">
                  <c:v>-1.5667516455521949E-4</c:v>
                </c:pt>
                <c:pt idx="52">
                  <c:v>-2.2312366967239781E-4</c:v>
                </c:pt>
                <c:pt idx="53">
                  <c:v>-3.2646311584971039E-5</c:v>
                </c:pt>
                <c:pt idx="54">
                  <c:v>-1.5846602721780799E-4</c:v>
                </c:pt>
                <c:pt idx="55">
                  <c:v>1.294206039513684E-4</c:v>
                </c:pt>
                <c:pt idx="56">
                  <c:v>1.2875641994820647E-4</c:v>
                </c:pt>
                <c:pt idx="57">
                  <c:v>2.8146391652657862E-4</c:v>
                </c:pt>
                <c:pt idx="58">
                  <c:v>1.7189427828016661E-4</c:v>
                </c:pt>
                <c:pt idx="59">
                  <c:v>2.1099294361409063E-5</c:v>
                </c:pt>
                <c:pt idx="60">
                  <c:v>4.3683975047087474E-4</c:v>
                </c:pt>
                <c:pt idx="61">
                  <c:v>4.9815096407903573E-4</c:v>
                </c:pt>
                <c:pt idx="62">
                  <c:v>5.3922716415038662E-4</c:v>
                </c:pt>
                <c:pt idx="63">
                  <c:v>2.6629359621257141E-4</c:v>
                </c:pt>
                <c:pt idx="64">
                  <c:v>8.047093734149561E-4</c:v>
                </c:pt>
                <c:pt idx="65">
                  <c:v>5.7580294686242358E-4</c:v>
                </c:pt>
                <c:pt idx="66">
                  <c:v>9.5010554547164216E-4</c:v>
                </c:pt>
                <c:pt idx="67">
                  <c:v>1.0609604565375967E-3</c:v>
                </c:pt>
                <c:pt idx="68">
                  <c:v>9.7925735378144455E-4</c:v>
                </c:pt>
                <c:pt idx="69">
                  <c:v>1.2139914636237978E-3</c:v>
                </c:pt>
                <c:pt idx="70">
                  <c:v>1.1395673786687109E-3</c:v>
                </c:pt>
                <c:pt idx="71">
                  <c:v>9.6752538432166705E-4</c:v>
                </c:pt>
                <c:pt idx="72">
                  <c:v>1.3400699282798275E-3</c:v>
                </c:pt>
                <c:pt idx="73">
                  <c:v>7.8647324535397129E-4</c:v>
                </c:pt>
                <c:pt idx="74">
                  <c:v>7.8262770295467552E-4</c:v>
                </c:pt>
                <c:pt idx="75">
                  <c:v>1.0153634050590766E-3</c:v>
                </c:pt>
                <c:pt idx="76">
                  <c:v>4.8914979126794128E-4</c:v>
                </c:pt>
                <c:pt idx="77">
                  <c:v>9.5533317914130644E-4</c:v>
                </c:pt>
                <c:pt idx="78">
                  <c:v>7.2443806303204746E-4</c:v>
                </c:pt>
                <c:pt idx="79">
                  <c:v>8.9044538059851724E-4</c:v>
                </c:pt>
                <c:pt idx="80">
                  <c:v>1.0156217722489015E-3</c:v>
                </c:pt>
                <c:pt idx="81">
                  <c:v>1.1862866842859226E-3</c:v>
                </c:pt>
                <c:pt idx="82">
                  <c:v>1.2172866441344952E-3</c:v>
                </c:pt>
                <c:pt idx="83">
                  <c:v>1.3439215227692629E-3</c:v>
                </c:pt>
                <c:pt idx="84">
                  <c:v>1.0746519795345778E-3</c:v>
                </c:pt>
                <c:pt idx="85">
                  <c:v>1.1124188013870928E-3</c:v>
                </c:pt>
                <c:pt idx="86">
                  <c:v>9.8750250810895218E-4</c:v>
                </c:pt>
                <c:pt idx="87">
                  <c:v>1.3066654149526847E-3</c:v>
                </c:pt>
                <c:pt idx="88">
                  <c:v>1.3622276442941505E-3</c:v>
                </c:pt>
                <c:pt idx="89">
                  <c:v>1.3513978292194122E-3</c:v>
                </c:pt>
                <c:pt idx="90">
                  <c:v>1.3790301869354548E-3</c:v>
                </c:pt>
                <c:pt idx="91">
                  <c:v>1.7200586335313238E-3</c:v>
                </c:pt>
                <c:pt idx="92">
                  <c:v>1.9909006366672114E-3</c:v>
                </c:pt>
                <c:pt idx="93">
                  <c:v>2.1290939868260006E-3</c:v>
                </c:pt>
                <c:pt idx="94">
                  <c:v>1.7303820282638779E-3</c:v>
                </c:pt>
                <c:pt idx="95">
                  <c:v>1.7636051595774052E-3</c:v>
                </c:pt>
                <c:pt idx="96">
                  <c:v>1.846406570703995E-3</c:v>
                </c:pt>
                <c:pt idx="97">
                  <c:v>1.7847224469559925E-3</c:v>
                </c:pt>
                <c:pt idx="98">
                  <c:v>1.7152202891788189E-3</c:v>
                </c:pt>
                <c:pt idx="99">
                  <c:v>2.1300368259043944E-3</c:v>
                </c:pt>
                <c:pt idx="100">
                  <c:v>2.0743708722743091E-3</c:v>
                </c:pt>
                <c:pt idx="101">
                  <c:v>2.0683636779097831E-3</c:v>
                </c:pt>
                <c:pt idx="102">
                  <c:v>1.9930840357019024E-3</c:v>
                </c:pt>
                <c:pt idx="103">
                  <c:v>1.9847691705272182E-3</c:v>
                </c:pt>
                <c:pt idx="104">
                  <c:v>1.9456274087660999E-3</c:v>
                </c:pt>
                <c:pt idx="105">
                  <c:v>2.3938380180414214E-3</c:v>
                </c:pt>
                <c:pt idx="106">
                  <c:v>2.7095391522108372E-3</c:v>
                </c:pt>
                <c:pt idx="107">
                  <c:v>2.5333426947150256E-3</c:v>
                </c:pt>
                <c:pt idx="108">
                  <c:v>2.4353061844007325E-3</c:v>
                </c:pt>
                <c:pt idx="109">
                  <c:v>2.3608896813357514E-3</c:v>
                </c:pt>
                <c:pt idx="110">
                  <c:v>2.4749860924183102E-3</c:v>
                </c:pt>
                <c:pt idx="111">
                  <c:v>2.7103832274478681E-3</c:v>
                </c:pt>
                <c:pt idx="112">
                  <c:v>2.6815505361237986E-3</c:v>
                </c:pt>
                <c:pt idx="113">
                  <c:v>2.369616911539659E-3</c:v>
                </c:pt>
                <c:pt idx="114">
                  <c:v>2.6372369025253689E-3</c:v>
                </c:pt>
                <c:pt idx="115">
                  <c:v>2.3565413490155536E-3</c:v>
                </c:pt>
                <c:pt idx="116">
                  <c:v>2.3628468700914291E-3</c:v>
                </c:pt>
                <c:pt idx="117">
                  <c:v>1.9012474972404411E-3</c:v>
                </c:pt>
                <c:pt idx="118">
                  <c:v>1.970300947267559E-3</c:v>
                </c:pt>
                <c:pt idx="119">
                  <c:v>2.2732005465848355E-3</c:v>
                </c:pt>
                <c:pt idx="120">
                  <c:v>2.379955677651883E-3</c:v>
                </c:pt>
                <c:pt idx="121">
                  <c:v>2.4073624433065708E-3</c:v>
                </c:pt>
                <c:pt idx="122">
                  <c:v>2.1624940780666916E-3</c:v>
                </c:pt>
                <c:pt idx="123">
                  <c:v>1.9097696250464425E-3</c:v>
                </c:pt>
                <c:pt idx="124">
                  <c:v>6.1761387568220506E-4</c:v>
                </c:pt>
                <c:pt idx="125">
                  <c:v>1.0134788514574136E-3</c:v>
                </c:pt>
                <c:pt idx="126">
                  <c:v>7.2360174309408012E-4</c:v>
                </c:pt>
                <c:pt idx="127">
                  <c:v>7.3182182151919871E-4</c:v>
                </c:pt>
                <c:pt idx="128">
                  <c:v>6.3957058249816678E-4</c:v>
                </c:pt>
                <c:pt idx="129">
                  <c:v>3.8617643492693064E-4</c:v>
                </c:pt>
                <c:pt idx="130">
                  <c:v>3.8094155149438411E-4</c:v>
                </c:pt>
                <c:pt idx="131">
                  <c:v>7.6820599596488098E-4</c:v>
                </c:pt>
                <c:pt idx="132">
                  <c:v>9.2229674590615712E-4</c:v>
                </c:pt>
                <c:pt idx="133">
                  <c:v>9.9697604806527063E-4</c:v>
                </c:pt>
                <c:pt idx="134">
                  <c:v>8.9226075958568534E-4</c:v>
                </c:pt>
                <c:pt idx="135">
                  <c:v>9.764966866557933E-4</c:v>
                </c:pt>
                <c:pt idx="136">
                  <c:v>9.5355655223609836E-4</c:v>
                </c:pt>
                <c:pt idx="137">
                  <c:v>7.1703041346994883E-4</c:v>
                </c:pt>
                <c:pt idx="138">
                  <c:v>6.4008836022917529E-4</c:v>
                </c:pt>
                <c:pt idx="139">
                  <c:v>4.651441097716241E-4</c:v>
                </c:pt>
                <c:pt idx="140">
                  <c:v>4.0711856067149289E-4</c:v>
                </c:pt>
                <c:pt idx="141">
                  <c:v>2.3892431412856209E-4</c:v>
                </c:pt>
                <c:pt idx="142">
                  <c:v>5.0992385791490255E-5</c:v>
                </c:pt>
                <c:pt idx="143">
                  <c:v>1.8963578206116871E-4</c:v>
                </c:pt>
                <c:pt idx="144">
                  <c:v>1.4461287525433918E-4</c:v>
                </c:pt>
                <c:pt idx="145">
                  <c:v>-3.8667674895545524E-5</c:v>
                </c:pt>
                <c:pt idx="146">
                  <c:v>-2.5864120191253746E-4</c:v>
                </c:pt>
                <c:pt idx="147">
                  <c:v>-1.6550017303234221E-4</c:v>
                </c:pt>
                <c:pt idx="148">
                  <c:v>1.9641210626603761E-5</c:v>
                </c:pt>
                <c:pt idx="149">
                  <c:v>5.5517750560377024E-4</c:v>
                </c:pt>
                <c:pt idx="150">
                  <c:v>9.1333007106944608E-4</c:v>
                </c:pt>
                <c:pt idx="151">
                  <c:v>7.6769683189918236E-4</c:v>
                </c:pt>
                <c:pt idx="152">
                  <c:v>7.424064735306313E-4</c:v>
                </c:pt>
                <c:pt idx="153">
                  <c:v>4.5830176887868591E-4</c:v>
                </c:pt>
                <c:pt idx="154">
                  <c:v>5.7557879758959505E-4</c:v>
                </c:pt>
                <c:pt idx="155">
                  <c:v>7.6428554442092508E-4</c:v>
                </c:pt>
                <c:pt idx="156">
                  <c:v>7.7066489534586381E-5</c:v>
                </c:pt>
                <c:pt idx="157">
                  <c:v>2.7247436880009662E-4</c:v>
                </c:pt>
                <c:pt idx="158">
                  <c:v>-2.3438301708655028E-4</c:v>
                </c:pt>
                <c:pt idx="159">
                  <c:v>-5.8729910601776261E-5</c:v>
                </c:pt>
                <c:pt idx="160">
                  <c:v>-3.7290216155043372E-4</c:v>
                </c:pt>
                <c:pt idx="161">
                  <c:v>-5.3538386611244712E-4</c:v>
                </c:pt>
                <c:pt idx="162">
                  <c:v>-5.0291707180319671E-4</c:v>
                </c:pt>
                <c:pt idx="163">
                  <c:v>-1.4774394374158931E-4</c:v>
                </c:pt>
                <c:pt idx="164">
                  <c:v>-4.3426982387841052E-5</c:v>
                </c:pt>
                <c:pt idx="165">
                  <c:v>-4.4425116554995601E-4</c:v>
                </c:pt>
                <c:pt idx="166">
                  <c:v>-5.6956209509768669E-4</c:v>
                </c:pt>
                <c:pt idx="167">
                  <c:v>-4.2817839312967072E-4</c:v>
                </c:pt>
                <c:pt idx="168">
                  <c:v>-4.2383456610840808E-4</c:v>
                </c:pt>
                <c:pt idx="169">
                  <c:v>-3.0912507920612771E-4</c:v>
                </c:pt>
                <c:pt idx="170">
                  <c:v>-3.0558047439174394E-4</c:v>
                </c:pt>
                <c:pt idx="171">
                  <c:v>-2.3870387837265613E-4</c:v>
                </c:pt>
                <c:pt idx="172">
                  <c:v>-1.9205497069987171E-5</c:v>
                </c:pt>
                <c:pt idx="173">
                  <c:v>7.160126807277665E-4</c:v>
                </c:pt>
                <c:pt idx="174">
                  <c:v>6.6215206896144707E-4</c:v>
                </c:pt>
                <c:pt idx="175">
                  <c:v>5.1503473933404683E-4</c:v>
                </c:pt>
                <c:pt idx="176">
                  <c:v>4.0885325897416528E-4</c:v>
                </c:pt>
                <c:pt idx="177">
                  <c:v>6.0805313627210113E-4</c:v>
                </c:pt>
                <c:pt idx="178">
                  <c:v>1.0720428430440951E-5</c:v>
                </c:pt>
                <c:pt idx="179">
                  <c:v>9.5815681783622923E-4</c:v>
                </c:pt>
                <c:pt idx="180">
                  <c:v>-3.9252605046172923E-4</c:v>
                </c:pt>
                <c:pt idx="181">
                  <c:v>-2.5184221452936081E-4</c:v>
                </c:pt>
                <c:pt idx="182">
                  <c:v>-4.8350982601550168E-4</c:v>
                </c:pt>
                <c:pt idx="183">
                  <c:v>7.5879875644770285E-5</c:v>
                </c:pt>
                <c:pt idx="184">
                  <c:v>1.6545877222008155E-4</c:v>
                </c:pt>
                <c:pt idx="185">
                  <c:v>4.1636979874091866E-5</c:v>
                </c:pt>
                <c:pt idx="186">
                  <c:v>-8.0848687582265547E-5</c:v>
                </c:pt>
                <c:pt idx="187">
                  <c:v>-1.8047374287878323E-4</c:v>
                </c:pt>
                <c:pt idx="188">
                  <c:v>-4.4919403358342552E-4</c:v>
                </c:pt>
                <c:pt idx="189">
                  <c:v>-5.0600401793461994E-4</c:v>
                </c:pt>
                <c:pt idx="190">
                  <c:v>-5.4900714976479498E-4</c:v>
                </c:pt>
                <c:pt idx="191">
                  <c:v>-8.9929905113982338E-4</c:v>
                </c:pt>
                <c:pt idx="192">
                  <c:v>-1.3353701895052689E-3</c:v>
                </c:pt>
                <c:pt idx="193">
                  <c:v>-1.2581124810600102E-3</c:v>
                </c:pt>
                <c:pt idx="194">
                  <c:v>-9.925930620376046E-4</c:v>
                </c:pt>
                <c:pt idx="195">
                  <c:v>-7.7197752864460603E-4</c:v>
                </c:pt>
                <c:pt idx="196">
                  <c:v>-6.5043390651103178E-4</c:v>
                </c:pt>
                <c:pt idx="197">
                  <c:v>-6.5886850265472205E-4</c:v>
                </c:pt>
                <c:pt idx="198">
                  <c:v>-4.684421477657969E-4</c:v>
                </c:pt>
                <c:pt idx="199">
                  <c:v>-1.8800672051882852E-4</c:v>
                </c:pt>
                <c:pt idx="200">
                  <c:v>-4.6433658623513908E-4</c:v>
                </c:pt>
                <c:pt idx="201">
                  <c:v>-3.4743809601086749E-5</c:v>
                </c:pt>
                <c:pt idx="202">
                  <c:v>2.7807497987025667E-5</c:v>
                </c:pt>
                <c:pt idx="203">
                  <c:v>7.1970752004892578E-5</c:v>
                </c:pt>
                <c:pt idx="204">
                  <c:v>7.8589850403553005E-4</c:v>
                </c:pt>
                <c:pt idx="205">
                  <c:v>8.4814908095651653E-4</c:v>
                </c:pt>
                <c:pt idx="206">
                  <c:v>9.5598880485222399E-4</c:v>
                </c:pt>
                <c:pt idx="207">
                  <c:v>7.8540309548874414E-4</c:v>
                </c:pt>
                <c:pt idx="208">
                  <c:v>5.8917782038387994E-4</c:v>
                </c:pt>
                <c:pt idx="209">
                  <c:v>1.7375677603367369E-4</c:v>
                </c:pt>
                <c:pt idx="210">
                  <c:v>-3.269400616819078E-4</c:v>
                </c:pt>
                <c:pt idx="211">
                  <c:v>-4.0867212948237893E-4</c:v>
                </c:pt>
                <c:pt idx="212">
                  <c:v>-8.7777215734357672E-4</c:v>
                </c:pt>
                <c:pt idx="213">
                  <c:v>-7.9896831068721613E-4</c:v>
                </c:pt>
                <c:pt idx="214">
                  <c:v>-3.2739984816572225E-4</c:v>
                </c:pt>
                <c:pt idx="215">
                  <c:v>-6.7599546651254017E-4</c:v>
                </c:pt>
                <c:pt idx="216">
                  <c:v>-3.3455913729902708E-4</c:v>
                </c:pt>
                <c:pt idx="217">
                  <c:v>-2.0471054452423027E-4</c:v>
                </c:pt>
                <c:pt idx="218">
                  <c:v>1.9914521329806976E-4</c:v>
                </c:pt>
                <c:pt idx="219">
                  <c:v>-1.5060918155487124E-4</c:v>
                </c:pt>
                <c:pt idx="220">
                  <c:v>-5.3168515630806442E-4</c:v>
                </c:pt>
                <c:pt idx="221">
                  <c:v>-8.2691681990865412E-4</c:v>
                </c:pt>
                <c:pt idx="222">
                  <c:v>-1.0357538027044302E-3</c:v>
                </c:pt>
                <c:pt idx="223">
                  <c:v>-1.3000378437692801E-3</c:v>
                </c:pt>
                <c:pt idx="224">
                  <c:v>-8.3851925614950311E-4</c:v>
                </c:pt>
                <c:pt idx="225">
                  <c:v>-1.0253522354449496E-3</c:v>
                </c:pt>
                <c:pt idx="226">
                  <c:v>-1.3300531122306719E-3</c:v>
                </c:pt>
                <c:pt idx="227">
                  <c:v>-1.0716227864814459E-3</c:v>
                </c:pt>
                <c:pt idx="228">
                  <c:v>-1.2429226556438136E-3</c:v>
                </c:pt>
                <c:pt idx="229">
                  <c:v>-9.3860138975842124E-4</c:v>
                </c:pt>
                <c:pt idx="230">
                  <c:v>-1.2788459808147398E-3</c:v>
                </c:pt>
                <c:pt idx="231">
                  <c:v>-1.8038770927227181E-3</c:v>
                </c:pt>
                <c:pt idx="232">
                  <c:v>-1.8727612670578196E-3</c:v>
                </c:pt>
                <c:pt idx="233">
                  <c:v>-2.5301955657057321E-3</c:v>
                </c:pt>
                <c:pt idx="234">
                  <c:v>-2.6277176291271097E-3</c:v>
                </c:pt>
                <c:pt idx="235">
                  <c:v>-2.30223379105585E-3</c:v>
                </c:pt>
                <c:pt idx="236">
                  <c:v>-2.0551903837273972E-3</c:v>
                </c:pt>
                <c:pt idx="237">
                  <c:v>-1.9684179556674303E-3</c:v>
                </c:pt>
                <c:pt idx="238">
                  <c:v>-1.7543547656791495E-3</c:v>
                </c:pt>
                <c:pt idx="239">
                  <c:v>-2.5061923884577043E-3</c:v>
                </c:pt>
                <c:pt idx="240">
                  <c:v>-8.9593652559595734E-4</c:v>
                </c:pt>
                <c:pt idx="241">
                  <c:v>-4.4551414891514361E-4</c:v>
                </c:pt>
                <c:pt idx="242">
                  <c:v>-3.1644164231693086E-4</c:v>
                </c:pt>
                <c:pt idx="243">
                  <c:v>-7.4647855288548551E-4</c:v>
                </c:pt>
                <c:pt idx="244">
                  <c:v>-6.9062174576811804E-4</c:v>
                </c:pt>
                <c:pt idx="245">
                  <c:v>-3.0137749781352074E-4</c:v>
                </c:pt>
                <c:pt idx="246">
                  <c:v>3.550996634060007E-5</c:v>
                </c:pt>
                <c:pt idx="247">
                  <c:v>1.1037328499706618E-4</c:v>
                </c:pt>
                <c:pt idx="248">
                  <c:v>4.7943209346502637E-4</c:v>
                </c:pt>
                <c:pt idx="249">
                  <c:v>3.8148308555153553E-4</c:v>
                </c:pt>
                <c:pt idx="250">
                  <c:v>5.728328201406544E-4</c:v>
                </c:pt>
                <c:pt idx="251">
                  <c:v>4.307799393294642E-4</c:v>
                </c:pt>
                <c:pt idx="252">
                  <c:v>1.1377287401159951E-3</c:v>
                </c:pt>
                <c:pt idx="253">
                  <c:v>7.6624178501966253E-4</c:v>
                </c:pt>
                <c:pt idx="254">
                  <c:v>8.0917994460130401E-4</c:v>
                </c:pt>
                <c:pt idx="255">
                  <c:v>9.0097662000114618E-4</c:v>
                </c:pt>
                <c:pt idx="256">
                  <c:v>1.1260233878035444E-3</c:v>
                </c:pt>
                <c:pt idx="257">
                  <c:v>1.2857903252019526E-3</c:v>
                </c:pt>
                <c:pt idx="258">
                  <c:v>1.5445755620524778E-3</c:v>
                </c:pt>
                <c:pt idx="259">
                  <c:v>1.206455349641127E-3</c:v>
                </c:pt>
                <c:pt idx="260">
                  <c:v>1.323736752917275E-3</c:v>
                </c:pt>
                <c:pt idx="261">
                  <c:v>9.5641683493223064E-4</c:v>
                </c:pt>
                <c:pt idx="262">
                  <c:v>7.0067309185927514E-4</c:v>
                </c:pt>
                <c:pt idx="263">
                  <c:v>7.6084650609158999E-4</c:v>
                </c:pt>
                <c:pt idx="264">
                  <c:v>5.4218982236546934E-4</c:v>
                </c:pt>
                <c:pt idx="265">
                  <c:v>4.8943307563719209E-4</c:v>
                </c:pt>
                <c:pt idx="266">
                  <c:v>5.6439711643750776E-4</c:v>
                </c:pt>
                <c:pt idx="267">
                  <c:v>9.5292630473594372E-4</c:v>
                </c:pt>
                <c:pt idx="268">
                  <c:v>8.7049159867927297E-4</c:v>
                </c:pt>
                <c:pt idx="269">
                  <c:v>6.7482503499244643E-4</c:v>
                </c:pt>
                <c:pt idx="270">
                  <c:v>5.6383968704958455E-4</c:v>
                </c:pt>
                <c:pt idx="271">
                  <c:v>4.8497055536024687E-4</c:v>
                </c:pt>
                <c:pt idx="272">
                  <c:v>8.0991697980594161E-4</c:v>
                </c:pt>
                <c:pt idx="273">
                  <c:v>1.1875487724892953E-3</c:v>
                </c:pt>
                <c:pt idx="274">
                  <c:v>1.0446053123533022E-3</c:v>
                </c:pt>
                <c:pt idx="275">
                  <c:v>9.0181664022655423E-4</c:v>
                </c:pt>
                <c:pt idx="276">
                  <c:v>9.1774590059601939E-4</c:v>
                </c:pt>
                <c:pt idx="277">
                  <c:v>1.0464086137619245E-3</c:v>
                </c:pt>
                <c:pt idx="278">
                  <c:v>8.8719524116367965E-4</c:v>
                </c:pt>
                <c:pt idx="279">
                  <c:v>9.0884585460817039E-5</c:v>
                </c:pt>
                <c:pt idx="280">
                  <c:v>4.5444178746422738E-4</c:v>
                </c:pt>
                <c:pt idx="281">
                  <c:v>2.5020995190705073E-4</c:v>
                </c:pt>
                <c:pt idx="282">
                  <c:v>2.6451530042001536E-4</c:v>
                </c:pt>
                <c:pt idx="283">
                  <c:v>4.0095862898434321E-4</c:v>
                </c:pt>
                <c:pt idx="284">
                  <c:v>-1.0769981755007836E-4</c:v>
                </c:pt>
                <c:pt idx="285">
                  <c:v>2.5105191783908161E-4</c:v>
                </c:pt>
                <c:pt idx="286">
                  <c:v>7.1837887775347102E-5</c:v>
                </c:pt>
                <c:pt idx="287">
                  <c:v>-2.9352252269263641E-4</c:v>
                </c:pt>
                <c:pt idx="288">
                  <c:v>-3.3324147662484481E-4</c:v>
                </c:pt>
                <c:pt idx="289">
                  <c:v>-5.5340273131379309E-4</c:v>
                </c:pt>
                <c:pt idx="290">
                  <c:v>-2.3554749487147628E-4</c:v>
                </c:pt>
                <c:pt idx="291">
                  <c:v>-5.7993592584803383E-5</c:v>
                </c:pt>
                <c:pt idx="292">
                  <c:v>-8.200891657236288E-5</c:v>
                </c:pt>
                <c:pt idx="293">
                  <c:v>1.9216172958617245E-4</c:v>
                </c:pt>
                <c:pt idx="294">
                  <c:v>7.5603954238770595E-4</c:v>
                </c:pt>
                <c:pt idx="295">
                  <c:v>4.4880307100861241E-4</c:v>
                </c:pt>
                <c:pt idx="296">
                  <c:v>3.9536857768247098E-4</c:v>
                </c:pt>
                <c:pt idx="297">
                  <c:v>-8.5945866702620295E-5</c:v>
                </c:pt>
                <c:pt idx="298">
                  <c:v>-4.9416910429335263E-5</c:v>
                </c:pt>
                <c:pt idx="299">
                  <c:v>2.7474111743859206E-4</c:v>
                </c:pt>
                <c:pt idx="300">
                  <c:v>9.5676621941699711E-4</c:v>
                </c:pt>
                <c:pt idx="301">
                  <c:v>3.8887688180480259E-4</c:v>
                </c:pt>
                <c:pt idx="302">
                  <c:v>1.1107828766901309E-3</c:v>
                </c:pt>
                <c:pt idx="303">
                  <c:v>4.6569826894946086E-4</c:v>
                </c:pt>
                <c:pt idx="304">
                  <c:v>3.5338524615288617E-4</c:v>
                </c:pt>
                <c:pt idx="305">
                  <c:v>-4.4225648702909395E-4</c:v>
                </c:pt>
                <c:pt idx="306">
                  <c:v>-3.7336910843736122E-4</c:v>
                </c:pt>
                <c:pt idx="307">
                  <c:v>-4.9084501251876007E-4</c:v>
                </c:pt>
                <c:pt idx="308">
                  <c:v>-6.2536317131321089E-4</c:v>
                </c:pt>
                <c:pt idx="309">
                  <c:v>-3.1554693245479338E-4</c:v>
                </c:pt>
                <c:pt idx="310">
                  <c:v>-3.4368933986981989E-4</c:v>
                </c:pt>
                <c:pt idx="311">
                  <c:v>4.2320392681599855E-4</c:v>
                </c:pt>
                <c:pt idx="312">
                  <c:v>-1.5243282472128116E-4</c:v>
                </c:pt>
                <c:pt idx="313">
                  <c:v>-3.2077292257432589E-4</c:v>
                </c:pt>
                <c:pt idx="314">
                  <c:v>-4.8304308128394079E-4</c:v>
                </c:pt>
                <c:pt idx="315">
                  <c:v>-1.0305650586295207E-3</c:v>
                </c:pt>
                <c:pt idx="316">
                  <c:v>-1.2351490901178995E-3</c:v>
                </c:pt>
                <c:pt idx="317">
                  <c:v>-1.6868315441742735E-3</c:v>
                </c:pt>
                <c:pt idx="318">
                  <c:v>-1.6629418048978348E-3</c:v>
                </c:pt>
                <c:pt idx="319">
                  <c:v>-1.3523449020074417E-3</c:v>
                </c:pt>
                <c:pt idx="320">
                  <c:v>-1.6244698216361761E-3</c:v>
                </c:pt>
                <c:pt idx="321">
                  <c:v>-1.2172713369776771E-3</c:v>
                </c:pt>
                <c:pt idx="322">
                  <c:v>-1.3936104226745264E-3</c:v>
                </c:pt>
                <c:pt idx="323">
                  <c:v>-1.6114205324091488E-3</c:v>
                </c:pt>
                <c:pt idx="324">
                  <c:v>-1.8464767180530652E-3</c:v>
                </c:pt>
                <c:pt idx="325">
                  <c:v>-1.9780004953303034E-3</c:v>
                </c:pt>
                <c:pt idx="326">
                  <c:v>-1.8251106840211162E-3</c:v>
                </c:pt>
                <c:pt idx="327">
                  <c:v>-1.210127718087504E-3</c:v>
                </c:pt>
                <c:pt idx="328">
                  <c:v>-1.7415714802599973E-3</c:v>
                </c:pt>
                <c:pt idx="329">
                  <c:v>-2.0024684806818757E-3</c:v>
                </c:pt>
                <c:pt idx="330">
                  <c:v>-1.9884295865412183E-3</c:v>
                </c:pt>
                <c:pt idx="331">
                  <c:v>-1.5333139458246045E-3</c:v>
                </c:pt>
                <c:pt idx="332">
                  <c:v>-1.7085306520139469E-3</c:v>
                </c:pt>
                <c:pt idx="333">
                  <c:v>-2.0150682493307254E-3</c:v>
                </c:pt>
                <c:pt idx="334">
                  <c:v>-1.6853832113802732E-3</c:v>
                </c:pt>
                <c:pt idx="335">
                  <c:v>-1.4320238587675778E-3</c:v>
                </c:pt>
                <c:pt idx="336">
                  <c:v>-1.5765744225451177E-3</c:v>
                </c:pt>
                <c:pt idx="337">
                  <c:v>-1.9101871930636448E-3</c:v>
                </c:pt>
                <c:pt idx="338">
                  <c:v>-1.6796807738081426E-3</c:v>
                </c:pt>
                <c:pt idx="339">
                  <c:v>-1.4048296999767868E-3</c:v>
                </c:pt>
                <c:pt idx="340">
                  <c:v>-1.0674507982087395E-3</c:v>
                </c:pt>
                <c:pt idx="341">
                  <c:v>-3.6298758681500604E-4</c:v>
                </c:pt>
                <c:pt idx="342">
                  <c:v>1.2068314087559972E-4</c:v>
                </c:pt>
                <c:pt idx="343">
                  <c:v>-3.0346709405852743E-4</c:v>
                </c:pt>
                <c:pt idx="344">
                  <c:v>-3.2839929610884453E-4</c:v>
                </c:pt>
                <c:pt idx="345">
                  <c:v>-1.5036372420086912E-5</c:v>
                </c:pt>
                <c:pt idx="346">
                  <c:v>8.0668336925629599E-4</c:v>
                </c:pt>
                <c:pt idx="347">
                  <c:v>9.4824098990988924E-4</c:v>
                </c:pt>
                <c:pt idx="348">
                  <c:v>2.3893211454294643E-3</c:v>
                </c:pt>
                <c:pt idx="349">
                  <c:v>2.2605161308184261E-3</c:v>
                </c:pt>
                <c:pt idx="350">
                  <c:v>2.1679715593400715E-3</c:v>
                </c:pt>
                <c:pt idx="351">
                  <c:v>2.5005243221684526E-3</c:v>
                </c:pt>
                <c:pt idx="352">
                  <c:v>2.2199893761707017E-3</c:v>
                </c:pt>
                <c:pt idx="353">
                  <c:v>2.164713176866933E-3</c:v>
                </c:pt>
                <c:pt idx="354">
                  <c:v>1.7095718104438863E-3</c:v>
                </c:pt>
                <c:pt idx="355">
                  <c:v>1.8268111523900914E-3</c:v>
                </c:pt>
                <c:pt idx="356">
                  <c:v>2.0878152955231223E-3</c:v>
                </c:pt>
                <c:pt idx="357">
                  <c:v>2.3257187981973611E-3</c:v>
                </c:pt>
                <c:pt idx="358">
                  <c:v>2.0533259310706428E-3</c:v>
                </c:pt>
                <c:pt idx="359">
                  <c:v>1.8261618847263347E-3</c:v>
                </c:pt>
                <c:pt idx="360">
                  <c:v>9.9655469923922552E-4</c:v>
                </c:pt>
                <c:pt idx="361">
                  <c:v>1.3416058027587866E-3</c:v>
                </c:pt>
                <c:pt idx="362">
                  <c:v>9.240838645495947E-4</c:v>
                </c:pt>
                <c:pt idx="363">
                  <c:v>1.7522604769175717E-3</c:v>
                </c:pt>
                <c:pt idx="364">
                  <c:v>1.4595771154109214E-3</c:v>
                </c:pt>
                <c:pt idx="365">
                  <c:v>2.0133069847258021E-3</c:v>
                </c:pt>
                <c:pt idx="366">
                  <c:v>2.0279335057243075E-3</c:v>
                </c:pt>
                <c:pt idx="367">
                  <c:v>2.4415206308218184E-3</c:v>
                </c:pt>
                <c:pt idx="368">
                  <c:v>3.1996943103977803E-3</c:v>
                </c:pt>
                <c:pt idx="369">
                  <c:v>2.7397399463528955E-3</c:v>
                </c:pt>
                <c:pt idx="370">
                  <c:v>2.8740116643030081E-3</c:v>
                </c:pt>
                <c:pt idx="371">
                  <c:v>2.3785974973823077E-3</c:v>
                </c:pt>
                <c:pt idx="372">
                  <c:v>1.6842126511299972E-3</c:v>
                </c:pt>
                <c:pt idx="373">
                  <c:v>2.1383226402192576E-3</c:v>
                </c:pt>
                <c:pt idx="374">
                  <c:v>1.8274656502288975E-3</c:v>
                </c:pt>
                <c:pt idx="375">
                  <c:v>2.0036380875622299E-3</c:v>
                </c:pt>
                <c:pt idx="376">
                  <c:v>2.6092738798960541E-3</c:v>
                </c:pt>
                <c:pt idx="377">
                  <c:v>2.8806675727410282E-3</c:v>
                </c:pt>
                <c:pt idx="378">
                  <c:v>2.9503673720478918E-3</c:v>
                </c:pt>
                <c:pt idx="379">
                  <c:v>3.3740486909518172E-3</c:v>
                </c:pt>
                <c:pt idx="380">
                  <c:v>3.4107093019430114E-3</c:v>
                </c:pt>
                <c:pt idx="381">
                  <c:v>2.9725584382432058E-3</c:v>
                </c:pt>
                <c:pt idx="382">
                  <c:v>3.1821834751777946E-3</c:v>
                </c:pt>
                <c:pt idx="383">
                  <c:v>3.1154495624805927E-3</c:v>
                </c:pt>
                <c:pt idx="384">
                  <c:v>2.9844197434550344E-3</c:v>
                </c:pt>
                <c:pt idx="385">
                  <c:v>3.3321387716296583E-3</c:v>
                </c:pt>
                <c:pt idx="386">
                  <c:v>3.322406788629139E-3</c:v>
                </c:pt>
                <c:pt idx="387">
                  <c:v>2.6733682829978202E-3</c:v>
                </c:pt>
                <c:pt idx="388">
                  <c:v>2.8714366821140907E-3</c:v>
                </c:pt>
                <c:pt idx="389">
                  <c:v>2.977909726366146E-3</c:v>
                </c:pt>
                <c:pt idx="390">
                  <c:v>3.5019324400295065E-3</c:v>
                </c:pt>
                <c:pt idx="391">
                  <c:v>3.6412477159862462E-3</c:v>
                </c:pt>
                <c:pt idx="392">
                  <c:v>3.6778258799019742E-3</c:v>
                </c:pt>
                <c:pt idx="393">
                  <c:v>3.4695823668095529E-3</c:v>
                </c:pt>
                <c:pt idx="394">
                  <c:v>3.2166511183183452E-3</c:v>
                </c:pt>
                <c:pt idx="395">
                  <c:v>2.9232131220043433E-3</c:v>
                </c:pt>
                <c:pt idx="396">
                  <c:v>3.000695360494199E-3</c:v>
                </c:pt>
                <c:pt idx="397">
                  <c:v>2.8013400797995726E-3</c:v>
                </c:pt>
                <c:pt idx="398">
                  <c:v>2.6251835748115964E-3</c:v>
                </c:pt>
                <c:pt idx="399">
                  <c:v>3.1773984855234297E-3</c:v>
                </c:pt>
                <c:pt idx="400">
                  <c:v>2.8637618588374784E-3</c:v>
                </c:pt>
                <c:pt idx="401">
                  <c:v>2.3811291246705656E-3</c:v>
                </c:pt>
                <c:pt idx="402">
                  <c:v>2.0817132988847063E-3</c:v>
                </c:pt>
                <c:pt idx="403">
                  <c:v>2.5063894419923675E-3</c:v>
                </c:pt>
                <c:pt idx="404">
                  <c:v>3.0496347389475636E-3</c:v>
                </c:pt>
                <c:pt idx="405">
                  <c:v>3.0234211283558295E-3</c:v>
                </c:pt>
                <c:pt idx="406">
                  <c:v>2.4534982124647751E-3</c:v>
                </c:pt>
                <c:pt idx="407">
                  <c:v>2.335679123022333E-3</c:v>
                </c:pt>
                <c:pt idx="408">
                  <c:v>9.917217726392953E-4</c:v>
                </c:pt>
                <c:pt idx="409">
                  <c:v>9.4299831428449449E-4</c:v>
                </c:pt>
                <c:pt idx="410">
                  <c:v>1.0761640532699795E-3</c:v>
                </c:pt>
                <c:pt idx="411">
                  <c:v>8.5300883223251309E-4</c:v>
                </c:pt>
                <c:pt idx="412">
                  <c:v>1.767018570441876E-3</c:v>
                </c:pt>
                <c:pt idx="413">
                  <c:v>1.3732394783508716E-3</c:v>
                </c:pt>
                <c:pt idx="414">
                  <c:v>1.1006045830396871E-3</c:v>
                </c:pt>
                <c:pt idx="415">
                  <c:v>1.3024128662287187E-3</c:v>
                </c:pt>
                <c:pt idx="416">
                  <c:v>7.6664936359548976E-4</c:v>
                </c:pt>
                <c:pt idx="417">
                  <c:v>6.2100548894648724E-4</c:v>
                </c:pt>
                <c:pt idx="418">
                  <c:v>1.4297072634620531E-3</c:v>
                </c:pt>
                <c:pt idx="419">
                  <c:v>1.4913910581590814E-3</c:v>
                </c:pt>
                <c:pt idx="420">
                  <c:v>1.8663316724657493E-3</c:v>
                </c:pt>
                <c:pt idx="421">
                  <c:v>1.783779888844633E-3</c:v>
                </c:pt>
                <c:pt idx="422">
                  <c:v>1.628876225557315E-3</c:v>
                </c:pt>
                <c:pt idx="423">
                  <c:v>1.3312564607973444E-3</c:v>
                </c:pt>
                <c:pt idx="424">
                  <c:v>2.3620979704390083E-3</c:v>
                </c:pt>
                <c:pt idx="425">
                  <c:v>2.1327983134645763E-3</c:v>
                </c:pt>
                <c:pt idx="426">
                  <c:v>2.0009731472761527E-3</c:v>
                </c:pt>
                <c:pt idx="427">
                  <c:v>2.0660878692038984E-3</c:v>
                </c:pt>
                <c:pt idx="428">
                  <c:v>1.3918095318946931E-3</c:v>
                </c:pt>
                <c:pt idx="429">
                  <c:v>1.6703202518155626E-3</c:v>
                </c:pt>
                <c:pt idx="430">
                  <c:v>1.5551828501904367E-3</c:v>
                </c:pt>
                <c:pt idx="431">
                  <c:v>1.2592556284526911E-3</c:v>
                </c:pt>
                <c:pt idx="432">
                  <c:v>2.3182850279448624E-3</c:v>
                </c:pt>
                <c:pt idx="433">
                  <c:v>2.1726866475871541E-3</c:v>
                </c:pt>
                <c:pt idx="434">
                  <c:v>2.4834592707906871E-3</c:v>
                </c:pt>
                <c:pt idx="435">
                  <c:v>2.4130326298828601E-3</c:v>
                </c:pt>
                <c:pt idx="436">
                  <c:v>2.4547685761189164E-3</c:v>
                </c:pt>
                <c:pt idx="437">
                  <c:v>2.3292677839906848E-3</c:v>
                </c:pt>
                <c:pt idx="438">
                  <c:v>2.4154539773994146E-3</c:v>
                </c:pt>
                <c:pt idx="439">
                  <c:v>1.7849359008037004E-3</c:v>
                </c:pt>
                <c:pt idx="440">
                  <c:v>2.1359572065156982E-3</c:v>
                </c:pt>
                <c:pt idx="441">
                  <c:v>2.3211301791534449E-3</c:v>
                </c:pt>
                <c:pt idx="442">
                  <c:v>2.56955955763966E-3</c:v>
                </c:pt>
                <c:pt idx="443">
                  <c:v>2.6986773905671355E-3</c:v>
                </c:pt>
                <c:pt idx="444">
                  <c:v>2.93928427914466E-3</c:v>
                </c:pt>
                <c:pt idx="445">
                  <c:v>2.9412727068166074E-3</c:v>
                </c:pt>
                <c:pt idx="446">
                  <c:v>3.0503936377766091E-3</c:v>
                </c:pt>
                <c:pt idx="447">
                  <c:v>2.7723516431606677E-3</c:v>
                </c:pt>
                <c:pt idx="448">
                  <c:v>3.241433195586692E-3</c:v>
                </c:pt>
                <c:pt idx="449">
                  <c:v>3.5034107158608422E-3</c:v>
                </c:pt>
                <c:pt idx="450">
                  <c:v>3.3027727039144587E-3</c:v>
                </c:pt>
                <c:pt idx="451">
                  <c:v>2.8437502331154726E-3</c:v>
                </c:pt>
                <c:pt idx="452">
                  <c:v>2.8668032498215816E-3</c:v>
                </c:pt>
                <c:pt idx="453">
                  <c:v>2.8434846487173956E-3</c:v>
                </c:pt>
                <c:pt idx="454">
                  <c:v>3.0601465033549629E-3</c:v>
                </c:pt>
                <c:pt idx="455">
                  <c:v>2.9018886095111534E-3</c:v>
                </c:pt>
                <c:pt idx="456">
                  <c:v>2.7077597183100977E-3</c:v>
                </c:pt>
                <c:pt idx="457">
                  <c:v>3.0544017290130665E-3</c:v>
                </c:pt>
                <c:pt idx="458">
                  <c:v>3.1703573907969603E-3</c:v>
                </c:pt>
                <c:pt idx="459">
                  <c:v>2.7026599191535441E-3</c:v>
                </c:pt>
                <c:pt idx="460">
                  <c:v>2.911604341691527E-3</c:v>
                </c:pt>
                <c:pt idx="461">
                  <c:v>3.0561510589011964E-3</c:v>
                </c:pt>
                <c:pt idx="462">
                  <c:v>3.0589628716102993E-3</c:v>
                </c:pt>
                <c:pt idx="463">
                  <c:v>2.942838849787386E-3</c:v>
                </c:pt>
                <c:pt idx="464">
                  <c:v>2.2142351906040197E-3</c:v>
                </c:pt>
                <c:pt idx="465">
                  <c:v>2.2333593113373542E-3</c:v>
                </c:pt>
                <c:pt idx="466">
                  <c:v>1.9084209579988205E-3</c:v>
                </c:pt>
                <c:pt idx="467">
                  <c:v>1.747793055866179E-3</c:v>
                </c:pt>
                <c:pt idx="468">
                  <c:v>1.5145925127544777E-3</c:v>
                </c:pt>
                <c:pt idx="469">
                  <c:v>1.661227546746157E-3</c:v>
                </c:pt>
                <c:pt idx="470">
                  <c:v>1.3821012758176779E-3</c:v>
                </c:pt>
                <c:pt idx="471">
                  <c:v>1.551308140098709E-3</c:v>
                </c:pt>
                <c:pt idx="472">
                  <c:v>9.2112979158841778E-4</c:v>
                </c:pt>
                <c:pt idx="473">
                  <c:v>8.9630511927204278E-4</c:v>
                </c:pt>
                <c:pt idx="474">
                  <c:v>1.2784221557080424E-3</c:v>
                </c:pt>
                <c:pt idx="475">
                  <c:v>1.2819972447081886E-3</c:v>
                </c:pt>
                <c:pt idx="476">
                  <c:v>1.4903244918312145E-3</c:v>
                </c:pt>
                <c:pt idx="477">
                  <c:v>1.5577437317347803E-3</c:v>
                </c:pt>
                <c:pt idx="478">
                  <c:v>9.2132612121272094E-4</c:v>
                </c:pt>
                <c:pt idx="479">
                  <c:v>8.7347119982799336E-4</c:v>
                </c:pt>
                <c:pt idx="480">
                  <c:v>7.4257968717572056E-4</c:v>
                </c:pt>
                <c:pt idx="481">
                  <c:v>8.7064637794033797E-4</c:v>
                </c:pt>
                <c:pt idx="482">
                  <c:v>1.2218959117969515E-3</c:v>
                </c:pt>
                <c:pt idx="483">
                  <c:v>1.5263812163972962E-3</c:v>
                </c:pt>
                <c:pt idx="484">
                  <c:v>7.5846610647108603E-4</c:v>
                </c:pt>
                <c:pt idx="485">
                  <c:v>7.782308706467231E-4</c:v>
                </c:pt>
                <c:pt idx="486">
                  <c:v>8.3614881263292763E-4</c:v>
                </c:pt>
                <c:pt idx="487">
                  <c:v>7.5055895635698288E-4</c:v>
                </c:pt>
                <c:pt idx="488">
                  <c:v>9.4372365390591947E-4</c:v>
                </c:pt>
                <c:pt idx="489">
                  <c:v>7.1432244896741477E-4</c:v>
                </c:pt>
                <c:pt idx="490">
                  <c:v>8.4290048104890703E-4</c:v>
                </c:pt>
                <c:pt idx="491">
                  <c:v>1.1721629793550905E-3</c:v>
                </c:pt>
                <c:pt idx="492">
                  <c:v>7.0788941106999593E-4</c:v>
                </c:pt>
                <c:pt idx="493">
                  <c:v>3.4100406347346629E-4</c:v>
                </c:pt>
                <c:pt idx="494">
                  <c:v>2.9613496842973309E-4</c:v>
                </c:pt>
                <c:pt idx="495">
                  <c:v>6.9624374032636275E-4</c:v>
                </c:pt>
                <c:pt idx="496">
                  <c:v>6.3776013851648888E-4</c:v>
                </c:pt>
                <c:pt idx="497">
                  <c:v>7.788901671153441E-4</c:v>
                </c:pt>
                <c:pt idx="498">
                  <c:v>2.1627290709461079E-4</c:v>
                </c:pt>
                <c:pt idx="499">
                  <c:v>-3.2452483349872997E-4</c:v>
                </c:pt>
                <c:pt idx="500">
                  <c:v>-5.0553032134945802E-4</c:v>
                </c:pt>
                <c:pt idx="501">
                  <c:v>-9.0170913911739089E-4</c:v>
                </c:pt>
                <c:pt idx="502">
                  <c:v>-8.4337293286288178E-4</c:v>
                </c:pt>
                <c:pt idx="503">
                  <c:v>-9.7089906183448068E-4</c:v>
                </c:pt>
                <c:pt idx="504">
                  <c:v>-1.1706751655974632E-3</c:v>
                </c:pt>
                <c:pt idx="505">
                  <c:v>-1.4449726220768086E-3</c:v>
                </c:pt>
                <c:pt idx="506">
                  <c:v>-1.4478307736003847E-3</c:v>
                </c:pt>
                <c:pt idx="507">
                  <c:v>-7.9515122447507266E-4</c:v>
                </c:pt>
                <c:pt idx="508">
                  <c:v>-9.2222948046586381E-4</c:v>
                </c:pt>
                <c:pt idx="509">
                  <c:v>-9.5890052985811371E-4</c:v>
                </c:pt>
                <c:pt idx="510">
                  <c:v>-5.8800280755586247E-4</c:v>
                </c:pt>
                <c:pt idx="511">
                  <c:v>-4.693034970990669E-4</c:v>
                </c:pt>
                <c:pt idx="512">
                  <c:v>-3.3644916150545306E-4</c:v>
                </c:pt>
                <c:pt idx="513">
                  <c:v>-1.7355099863218581E-4</c:v>
                </c:pt>
                <c:pt idx="514">
                  <c:v>9.7093046973103277E-5</c:v>
                </c:pt>
                <c:pt idx="515">
                  <c:v>4.0317182725423811E-4</c:v>
                </c:pt>
                <c:pt idx="516">
                  <c:v>5.2519926520737826E-4</c:v>
                </c:pt>
                <c:pt idx="517">
                  <c:v>3.7514171111286852E-4</c:v>
                </c:pt>
                <c:pt idx="518">
                  <c:v>8.2573677899763732E-5</c:v>
                </c:pt>
                <c:pt idx="519">
                  <c:v>1.4606916945234774E-4</c:v>
                </c:pt>
                <c:pt idx="520">
                  <c:v>7.9106834518323488E-5</c:v>
                </c:pt>
                <c:pt idx="521">
                  <c:v>2.384298235543796E-4</c:v>
                </c:pt>
                <c:pt idx="522">
                  <c:v>-4.7818520897224587E-5</c:v>
                </c:pt>
                <c:pt idx="523">
                  <c:v>-1.2063992239967695E-4</c:v>
                </c:pt>
                <c:pt idx="524">
                  <c:v>1.1482843202998929E-4</c:v>
                </c:pt>
                <c:pt idx="525">
                  <c:v>-4.143943416132152E-4</c:v>
                </c:pt>
                <c:pt idx="526">
                  <c:v>-3.8164454485645758E-4</c:v>
                </c:pt>
                <c:pt idx="527">
                  <c:v>-5.2522980654017731E-4</c:v>
                </c:pt>
                <c:pt idx="528">
                  <c:v>-4.8293544441973971E-4</c:v>
                </c:pt>
                <c:pt idx="529">
                  <c:v>-4.0639158733711501E-4</c:v>
                </c:pt>
                <c:pt idx="530">
                  <c:v>-4.6502934976597329E-4</c:v>
                </c:pt>
                <c:pt idx="531">
                  <c:v>-5.468515316338795E-4</c:v>
                </c:pt>
                <c:pt idx="532">
                  <c:v>-2.1314055862269591E-4</c:v>
                </c:pt>
                <c:pt idx="533">
                  <c:v>3.4044205202113874E-4</c:v>
                </c:pt>
                <c:pt idx="534">
                  <c:v>5.0532217022500108E-4</c:v>
                </c:pt>
                <c:pt idx="535">
                  <c:v>4.1626536626910779E-5</c:v>
                </c:pt>
                <c:pt idx="536">
                  <c:v>3.0926968466589764E-4</c:v>
                </c:pt>
                <c:pt idx="537">
                  <c:v>4.1619357008392205E-4</c:v>
                </c:pt>
                <c:pt idx="538">
                  <c:v>4.0974086273436498E-4</c:v>
                </c:pt>
                <c:pt idx="539">
                  <c:v>1.3096030702924176E-3</c:v>
                </c:pt>
                <c:pt idx="540">
                  <c:v>1.2736723625234279E-3</c:v>
                </c:pt>
                <c:pt idx="541">
                  <c:v>1.3425028316003164E-3</c:v>
                </c:pt>
                <c:pt idx="542">
                  <c:v>1.1144599187040223E-3</c:v>
                </c:pt>
                <c:pt idx="543">
                  <c:v>1.245549456192581E-3</c:v>
                </c:pt>
                <c:pt idx="544">
                  <c:v>1.9207661133448365E-3</c:v>
                </c:pt>
                <c:pt idx="545">
                  <c:v>1.3663818729835748E-3</c:v>
                </c:pt>
                <c:pt idx="546">
                  <c:v>1.1835471925917892E-3</c:v>
                </c:pt>
                <c:pt idx="547">
                  <c:v>9.6927983230150037E-4</c:v>
                </c:pt>
                <c:pt idx="548">
                  <c:v>6.5433378260595942E-4</c:v>
                </c:pt>
                <c:pt idx="549">
                  <c:v>8.2918558487246174E-4</c:v>
                </c:pt>
                <c:pt idx="550">
                  <c:v>9.3327429881619834E-4</c:v>
                </c:pt>
                <c:pt idx="551">
                  <c:v>8.4979179039663608E-4</c:v>
                </c:pt>
                <c:pt idx="552">
                  <c:v>7.8261356494896514E-4</c:v>
                </c:pt>
                <c:pt idx="553">
                  <c:v>8.8558917434260567E-4</c:v>
                </c:pt>
                <c:pt idx="554">
                  <c:v>8.9759549943229495E-4</c:v>
                </c:pt>
                <c:pt idx="555">
                  <c:v>4.7788013618393151E-4</c:v>
                </c:pt>
                <c:pt idx="556">
                  <c:v>6.1885838977006617E-4</c:v>
                </c:pt>
                <c:pt idx="557">
                  <c:v>4.1562899385744526E-4</c:v>
                </c:pt>
                <c:pt idx="558">
                  <c:v>6.9503520443339045E-4</c:v>
                </c:pt>
                <c:pt idx="559">
                  <c:v>1.2357091466752086E-3</c:v>
                </c:pt>
                <c:pt idx="560">
                  <c:v>1.0918096021168616E-3</c:v>
                </c:pt>
                <c:pt idx="561">
                  <c:v>1.1018494389640194E-3</c:v>
                </c:pt>
                <c:pt idx="562">
                  <c:v>7.6774015869239575E-4</c:v>
                </c:pt>
                <c:pt idx="563">
                  <c:v>6.6354257859308147E-4</c:v>
                </c:pt>
                <c:pt idx="564">
                  <c:v>9.2207616620962286E-4</c:v>
                </c:pt>
                <c:pt idx="565">
                  <c:v>1.0613039091339677E-3</c:v>
                </c:pt>
                <c:pt idx="566">
                  <c:v>1.4100299036596848E-3</c:v>
                </c:pt>
                <c:pt idx="567">
                  <c:v>1.4124875135975699E-3</c:v>
                </c:pt>
                <c:pt idx="568">
                  <c:v>1.4478561950134992E-3</c:v>
                </c:pt>
                <c:pt idx="569">
                  <c:v>1.1726739020695917E-3</c:v>
                </c:pt>
                <c:pt idx="570">
                  <c:v>1.063130357619232E-3</c:v>
                </c:pt>
                <c:pt idx="571">
                  <c:v>1.1026552419966362E-3</c:v>
                </c:pt>
                <c:pt idx="572">
                  <c:v>1.1115692827887839E-3</c:v>
                </c:pt>
                <c:pt idx="573">
                  <c:v>9.4598452932671048E-4</c:v>
                </c:pt>
                <c:pt idx="574">
                  <c:v>8.5436008238421682E-4</c:v>
                </c:pt>
                <c:pt idx="575">
                  <c:v>5.5699533044918387E-4</c:v>
                </c:pt>
                <c:pt idx="576">
                  <c:v>1.4485775106945758E-4</c:v>
                </c:pt>
                <c:pt idx="577">
                  <c:v>5.7110769725144544E-5</c:v>
                </c:pt>
                <c:pt idx="578">
                  <c:v>-8.9004824183444857E-5</c:v>
                </c:pt>
                <c:pt idx="579">
                  <c:v>-4.5668959596293116E-5</c:v>
                </c:pt>
                <c:pt idx="580">
                  <c:v>-1.932582805835453E-4</c:v>
                </c:pt>
                <c:pt idx="581">
                  <c:v>-1.5077979429817105E-4</c:v>
                </c:pt>
                <c:pt idx="582">
                  <c:v>4.4539047868725307E-4</c:v>
                </c:pt>
                <c:pt idx="583">
                  <c:v>5.4402399168368052E-4</c:v>
                </c:pt>
                <c:pt idx="584">
                  <c:v>1.0519658677697922E-4</c:v>
                </c:pt>
                <c:pt idx="585">
                  <c:v>8.6446833547999423E-4</c:v>
                </c:pt>
                <c:pt idx="586">
                  <c:v>1.2681575892509627E-3</c:v>
                </c:pt>
                <c:pt idx="587">
                  <c:v>1.4544329728334643E-3</c:v>
                </c:pt>
                <c:pt idx="588">
                  <c:v>1.7864230596969987E-3</c:v>
                </c:pt>
                <c:pt idx="589">
                  <c:v>1.7667907781259394E-3</c:v>
                </c:pt>
                <c:pt idx="590">
                  <c:v>1.675894198919772E-3</c:v>
                </c:pt>
                <c:pt idx="591">
                  <c:v>1.4180160666050501E-3</c:v>
                </c:pt>
                <c:pt idx="592">
                  <c:v>1.3473575474040808E-3</c:v>
                </c:pt>
                <c:pt idx="593">
                  <c:v>8.7840318702718631E-4</c:v>
                </c:pt>
                <c:pt idx="594">
                  <c:v>1.1611081902338112E-3</c:v>
                </c:pt>
                <c:pt idx="595">
                  <c:v>1.0070038661462728E-3</c:v>
                </c:pt>
                <c:pt idx="596">
                  <c:v>9.7736300117819835E-4</c:v>
                </c:pt>
                <c:pt idx="597">
                  <c:v>8.3311640684243828E-4</c:v>
                </c:pt>
                <c:pt idx="598">
                  <c:v>2.7581041036188183E-3</c:v>
                </c:pt>
                <c:pt idx="599">
                  <c:v>2.4497416011580696E-3</c:v>
                </c:pt>
                <c:pt idx="600">
                  <c:v>2.6196630290953116E-3</c:v>
                </c:pt>
                <c:pt idx="601">
                  <c:v>2.3857741974789726E-3</c:v>
                </c:pt>
                <c:pt idx="602">
                  <c:v>2.1412167307779412E-3</c:v>
                </c:pt>
                <c:pt idx="603">
                  <c:v>1.8230571022019608E-3</c:v>
                </c:pt>
                <c:pt idx="604">
                  <c:v>1.2772003724676501E-3</c:v>
                </c:pt>
                <c:pt idx="605">
                  <c:v>2.0340015256750904E-3</c:v>
                </c:pt>
                <c:pt idx="606">
                  <c:v>2.2474374594635377E-3</c:v>
                </c:pt>
                <c:pt idx="607">
                  <c:v>2.5604281854799968E-3</c:v>
                </c:pt>
                <c:pt idx="608">
                  <c:v>2.4833917718107969E-3</c:v>
                </c:pt>
                <c:pt idx="609">
                  <c:v>2.6315629225480515E-3</c:v>
                </c:pt>
                <c:pt idx="610">
                  <c:v>2.4970535401008403E-3</c:v>
                </c:pt>
                <c:pt idx="611">
                  <c:v>2.5155752726473326E-3</c:v>
                </c:pt>
                <c:pt idx="612">
                  <c:v>2.7377184003736701E-3</c:v>
                </c:pt>
                <c:pt idx="613">
                  <c:v>2.8518533224708405E-3</c:v>
                </c:pt>
                <c:pt idx="614">
                  <c:v>2.9579354747129418E-3</c:v>
                </c:pt>
                <c:pt idx="615">
                  <c:v>3.0223663373901118E-3</c:v>
                </c:pt>
                <c:pt idx="616">
                  <c:v>3.1584597426874629E-3</c:v>
                </c:pt>
                <c:pt idx="617">
                  <c:v>3.1843654818485205E-3</c:v>
                </c:pt>
                <c:pt idx="618">
                  <c:v>2.861762283373336E-3</c:v>
                </c:pt>
                <c:pt idx="619">
                  <c:v>3.3339711334019182E-3</c:v>
                </c:pt>
                <c:pt idx="620">
                  <c:v>3.7625050251019112E-3</c:v>
                </c:pt>
                <c:pt idx="621">
                  <c:v>4.019756100892731E-3</c:v>
                </c:pt>
                <c:pt idx="622">
                  <c:v>4.0620730385688775E-3</c:v>
                </c:pt>
                <c:pt idx="623">
                  <c:v>3.7929575503595925E-3</c:v>
                </c:pt>
                <c:pt idx="624">
                  <c:v>3.7955171839187582E-3</c:v>
                </c:pt>
                <c:pt idx="625">
                  <c:v>4.196610193042581E-3</c:v>
                </c:pt>
                <c:pt idx="626">
                  <c:v>3.9567112146653627E-3</c:v>
                </c:pt>
                <c:pt idx="627">
                  <c:v>3.9365634110089393E-3</c:v>
                </c:pt>
                <c:pt idx="628">
                  <c:v>3.8454982571922759E-3</c:v>
                </c:pt>
                <c:pt idx="629">
                  <c:v>3.8529772875540106E-3</c:v>
                </c:pt>
                <c:pt idx="630">
                  <c:v>3.4190171549953402E-3</c:v>
                </c:pt>
                <c:pt idx="631">
                  <c:v>3.3257753629133201E-3</c:v>
                </c:pt>
                <c:pt idx="632">
                  <c:v>3.2698388427594913E-3</c:v>
                </c:pt>
                <c:pt idx="633">
                  <c:v>3.0761983752711467E-3</c:v>
                </c:pt>
                <c:pt idx="634">
                  <c:v>2.8896482908944907E-3</c:v>
                </c:pt>
                <c:pt idx="635">
                  <c:v>3.1215409623160956E-3</c:v>
                </c:pt>
                <c:pt idx="636">
                  <c:v>3.1289325521409298E-3</c:v>
                </c:pt>
                <c:pt idx="637">
                  <c:v>3.1229868306659292E-3</c:v>
                </c:pt>
                <c:pt idx="638">
                  <c:v>3.3969967904767216E-3</c:v>
                </c:pt>
                <c:pt idx="639">
                  <c:v>3.4180801185998326E-3</c:v>
                </c:pt>
                <c:pt idx="640">
                  <c:v>3.2850593510650207E-3</c:v>
                </c:pt>
                <c:pt idx="641">
                  <c:v>3.0858046862353304E-3</c:v>
                </c:pt>
                <c:pt idx="642">
                  <c:v>2.8456679077860135E-3</c:v>
                </c:pt>
                <c:pt idx="643">
                  <c:v>3.4420035068108402E-3</c:v>
                </c:pt>
                <c:pt idx="644">
                  <c:v>3.6265146726270265E-3</c:v>
                </c:pt>
                <c:pt idx="645">
                  <c:v>3.0425967961396853E-3</c:v>
                </c:pt>
                <c:pt idx="646">
                  <c:v>3.2512234835140072E-3</c:v>
                </c:pt>
                <c:pt idx="647">
                  <c:v>3.3964177290692022E-3</c:v>
                </c:pt>
                <c:pt idx="648">
                  <c:v>3.574330152598591E-3</c:v>
                </c:pt>
                <c:pt idx="649">
                  <c:v>3.5186556384214493E-3</c:v>
                </c:pt>
                <c:pt idx="650">
                  <c:v>3.8652682836863581E-3</c:v>
                </c:pt>
                <c:pt idx="651">
                  <c:v>4.0873653880093303E-3</c:v>
                </c:pt>
                <c:pt idx="652">
                  <c:v>4.123875662600209E-3</c:v>
                </c:pt>
                <c:pt idx="653">
                  <c:v>4.879468047989579E-3</c:v>
                </c:pt>
                <c:pt idx="654">
                  <c:v>4.7238169126608848E-3</c:v>
                </c:pt>
                <c:pt idx="655">
                  <c:v>5.1510566948455719E-3</c:v>
                </c:pt>
                <c:pt idx="656">
                  <c:v>4.814542144657815E-3</c:v>
                </c:pt>
                <c:pt idx="657">
                  <c:v>4.9523969336644161E-3</c:v>
                </c:pt>
                <c:pt idx="658">
                  <c:v>2.7435617265062716E-3</c:v>
                </c:pt>
                <c:pt idx="659">
                  <c:v>2.4956923198349128E-3</c:v>
                </c:pt>
                <c:pt idx="660">
                  <c:v>2.5566384803734628E-3</c:v>
                </c:pt>
                <c:pt idx="661">
                  <c:v>2.5946461047241477E-3</c:v>
                </c:pt>
                <c:pt idx="662">
                  <c:v>3.9984636697361691E-3</c:v>
                </c:pt>
                <c:pt idx="663">
                  <c:v>3.7205813310787466E-3</c:v>
                </c:pt>
                <c:pt idx="664">
                  <c:v>3.6114367705262131E-3</c:v>
                </c:pt>
                <c:pt idx="665">
                  <c:v>3.02814851719087E-3</c:v>
                </c:pt>
                <c:pt idx="666">
                  <c:v>2.8109169354695088E-3</c:v>
                </c:pt>
                <c:pt idx="667">
                  <c:v>2.7455623259438804E-3</c:v>
                </c:pt>
                <c:pt idx="668">
                  <c:v>3.3963001039643841E-3</c:v>
                </c:pt>
                <c:pt idx="669">
                  <c:v>3.4141948327863487E-3</c:v>
                </c:pt>
                <c:pt idx="670">
                  <c:v>2.9996427945543202E-3</c:v>
                </c:pt>
                <c:pt idx="671">
                  <c:v>3.0805665108316754E-3</c:v>
                </c:pt>
                <c:pt idx="672">
                  <c:v>3.0259680776623522E-3</c:v>
                </c:pt>
                <c:pt idx="673">
                  <c:v>3.3833782636509056E-3</c:v>
                </c:pt>
                <c:pt idx="674">
                  <c:v>3.4762807905233456E-3</c:v>
                </c:pt>
                <c:pt idx="675">
                  <c:v>3.6103110261094884E-3</c:v>
                </c:pt>
                <c:pt idx="676">
                  <c:v>3.3455593983549611E-3</c:v>
                </c:pt>
                <c:pt idx="677">
                  <c:v>3.8303049040393135E-3</c:v>
                </c:pt>
                <c:pt idx="678">
                  <c:v>4.0097124815832701E-3</c:v>
                </c:pt>
                <c:pt idx="679">
                  <c:v>3.2310921666206982E-3</c:v>
                </c:pt>
                <c:pt idx="680">
                  <c:v>3.4864497666247255E-3</c:v>
                </c:pt>
                <c:pt idx="681">
                  <c:v>3.5816097865561834E-3</c:v>
                </c:pt>
                <c:pt idx="682">
                  <c:v>3.7243317545149774E-3</c:v>
                </c:pt>
                <c:pt idx="683">
                  <c:v>4.0292335777224178E-3</c:v>
                </c:pt>
                <c:pt idx="684">
                  <c:v>4.3596441774463417E-3</c:v>
                </c:pt>
                <c:pt idx="685">
                  <c:v>4.3052550199181869E-3</c:v>
                </c:pt>
                <c:pt idx="686">
                  <c:v>4.0961060166106065E-3</c:v>
                </c:pt>
                <c:pt idx="687">
                  <c:v>4.1357130435116666E-3</c:v>
                </c:pt>
                <c:pt idx="688">
                  <c:v>4.9641616011481251E-3</c:v>
                </c:pt>
                <c:pt idx="689">
                  <c:v>5.320554826103596E-3</c:v>
                </c:pt>
                <c:pt idx="690">
                  <c:v>5.7707417192844716E-3</c:v>
                </c:pt>
                <c:pt idx="691">
                  <c:v>5.4342650393994696E-3</c:v>
                </c:pt>
                <c:pt idx="692">
                  <c:v>5.50931552773622E-3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1F-4C51-8819-FA3714492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055023"/>
        <c:axId val="189055503"/>
      </c:lineChart>
      <c:dateAx>
        <c:axId val="189055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55503"/>
        <c:crosses val="autoZero"/>
        <c:auto val="1"/>
        <c:lblOffset val="100"/>
        <c:baseTimeUnit val="days"/>
      </c:dateAx>
      <c:valAx>
        <c:axId val="18905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Rolling</a:t>
                </a:r>
                <a:r>
                  <a:rPr lang="en-US" baseline="0"/>
                  <a:t> Alpha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55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129540</xdr:colOff>
      <xdr:row>0</xdr:row>
      <xdr:rowOff>0</xdr:rowOff>
    </xdr:from>
    <xdr:to>
      <xdr:col>10</xdr:col>
      <xdr:colOff>434340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5DADD9-99B0-5D19-FB7D-AB8954D575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19</xdr:col>
      <xdr:colOff>304800</xdr:colOff>
      <xdr:row>17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9132C06-30C7-4C18-8863-87A356E20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A7ACE-0EB5-46E1-B953-ED79722AD94F}">
  <dimension ref="A1:AS755"/>
  <sheetViews>
    <sheetView topLeftCell="AC3" zoomScale="83" workbookViewId="0">
      <selection activeCell="AM7" sqref="AM7"/>
    </sheetView>
  </sheetViews>
  <sheetFormatPr defaultRowHeight="14.4" x14ac:dyDescent="0.3"/>
  <cols>
    <col min="1" max="1" width="10.88671875" bestFit="1" customWidth="1"/>
    <col min="9" max="9" width="13" bestFit="1" customWidth="1"/>
    <col min="10" max="10" width="9" bestFit="1" customWidth="1"/>
    <col min="11" max="11" width="13.33203125" bestFit="1" customWidth="1"/>
    <col min="12" max="12" width="9.109375" bestFit="1" customWidth="1"/>
    <col min="13" max="13" width="9.77734375" bestFit="1" customWidth="1"/>
    <col min="14" max="14" width="12.77734375" bestFit="1" customWidth="1"/>
    <col min="16" max="16" width="14.33203125" bestFit="1" customWidth="1"/>
    <col min="17" max="20" width="13.88671875" bestFit="1" customWidth="1"/>
    <col min="21" max="22" width="16" bestFit="1" customWidth="1"/>
    <col min="24" max="24" width="25.88671875" bestFit="1" customWidth="1"/>
    <col min="25" max="26" width="9.33203125" bestFit="1" customWidth="1"/>
    <col min="27" max="27" width="18.21875" bestFit="1" customWidth="1"/>
    <col min="28" max="30" width="9.33203125" bestFit="1" customWidth="1"/>
    <col min="34" max="34" width="9.21875" bestFit="1" customWidth="1"/>
    <col min="36" max="36" width="23.6640625" customWidth="1"/>
    <col min="37" max="37" width="12.44140625" customWidth="1"/>
    <col min="38" max="38" width="9" customWidth="1"/>
    <col min="39" max="39" width="13.21875" bestFit="1" customWidth="1"/>
    <col min="40" max="40" width="10" customWidth="1"/>
    <col min="41" max="41" width="9.109375" bestFit="1" customWidth="1"/>
    <col min="42" max="42" width="7.5546875" bestFit="1" customWidth="1"/>
    <col min="43" max="43" width="15.21875" bestFit="1" customWidth="1"/>
    <col min="44" max="44" width="17" bestFit="1" customWidth="1"/>
    <col min="45" max="45" width="13.21875" bestFit="1" customWidth="1"/>
  </cols>
  <sheetData>
    <row r="1" spans="1:45" x14ac:dyDescent="0.3">
      <c r="A1" s="107" t="s">
        <v>0</v>
      </c>
      <c r="B1" s="107"/>
      <c r="C1" s="107"/>
      <c r="D1" s="107"/>
      <c r="E1" s="107"/>
      <c r="F1" s="107"/>
      <c r="G1" s="107"/>
      <c r="I1" s="107" t="s">
        <v>1</v>
      </c>
      <c r="J1" s="107"/>
      <c r="K1" s="107"/>
      <c r="L1" s="107"/>
      <c r="M1" s="107"/>
      <c r="N1" s="107"/>
      <c r="P1" s="108" t="s">
        <v>7</v>
      </c>
      <c r="Q1" s="108"/>
      <c r="R1" s="108"/>
      <c r="S1" s="108"/>
      <c r="T1" s="108"/>
      <c r="U1" s="108"/>
      <c r="V1" s="108"/>
      <c r="X1" s="110" t="s">
        <v>15</v>
      </c>
      <c r="Y1" s="110"/>
      <c r="Z1" s="110"/>
      <c r="AA1" s="110"/>
      <c r="AB1" s="110"/>
      <c r="AC1" s="110"/>
      <c r="AD1" s="11"/>
      <c r="AJ1" s="103"/>
      <c r="AK1" s="103"/>
      <c r="AL1" s="103"/>
      <c r="AM1" s="103"/>
      <c r="AN1" s="103"/>
      <c r="AO1" s="103"/>
    </row>
    <row r="2" spans="1:45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27</v>
      </c>
      <c r="F2" s="1" t="s">
        <v>28</v>
      </c>
      <c r="G2" s="1" t="s">
        <v>6</v>
      </c>
      <c r="I2" s="1" t="s">
        <v>3</v>
      </c>
      <c r="J2" s="1" t="s">
        <v>4</v>
      </c>
      <c r="K2" s="1" t="s">
        <v>5</v>
      </c>
      <c r="L2" s="1" t="s">
        <v>27</v>
      </c>
      <c r="M2" s="1" t="s">
        <v>28</v>
      </c>
      <c r="N2" s="1" t="s">
        <v>6</v>
      </c>
      <c r="P2" s="6"/>
      <c r="Q2" s="6" t="s">
        <v>3</v>
      </c>
      <c r="R2" s="6" t="s">
        <v>4</v>
      </c>
      <c r="S2" s="6" t="s">
        <v>5</v>
      </c>
      <c r="T2" s="6" t="s">
        <v>27</v>
      </c>
      <c r="U2" s="6" t="s">
        <v>28</v>
      </c>
      <c r="V2" s="6" t="s">
        <v>6</v>
      </c>
      <c r="X2" s="3"/>
      <c r="Y2" s="3"/>
      <c r="Z2" s="3"/>
      <c r="AA2" s="3"/>
      <c r="AB2" s="3"/>
      <c r="AC2" s="3"/>
      <c r="AD2" s="3"/>
      <c r="AF2" s="109" t="s">
        <v>23</v>
      </c>
      <c r="AG2" s="109"/>
      <c r="AH2" s="21">
        <v>4.0399999999999998E-2</v>
      </c>
      <c r="AJ2" s="103"/>
      <c r="AK2" s="104"/>
      <c r="AL2" s="104"/>
      <c r="AM2" s="104"/>
      <c r="AN2" s="104"/>
      <c r="AO2" s="104"/>
      <c r="AP2" s="104"/>
    </row>
    <row r="3" spans="1:45" x14ac:dyDescent="0.3">
      <c r="A3" s="2">
        <v>46030</v>
      </c>
      <c r="B3" s="3">
        <v>259.04000000000002</v>
      </c>
      <c r="C3" s="3">
        <v>185.04</v>
      </c>
      <c r="D3" s="3">
        <v>435.8</v>
      </c>
      <c r="E3" s="3">
        <v>50.2</v>
      </c>
      <c r="F3" s="3">
        <v>35.32</v>
      </c>
      <c r="G3" s="4">
        <v>6921.46</v>
      </c>
      <c r="I3" s="3">
        <f>LN(B3/B4)</f>
        <v>-4.9675670629667958E-3</v>
      </c>
      <c r="J3" s="3">
        <f t="shared" ref="J3:N18" si="0">LN(C3/C4)</f>
        <v>-2.1756838415997935E-2</v>
      </c>
      <c r="K3" s="3">
        <f t="shared" si="0"/>
        <v>1.0124508481054334E-2</v>
      </c>
      <c r="L3" s="3">
        <f t="shared" si="0"/>
        <v>2.746537745517948E-2</v>
      </c>
      <c r="M3" s="3">
        <f t="shared" si="0"/>
        <v>7.6737622551602989E-3</v>
      </c>
      <c r="N3" s="3">
        <f t="shared" si="0"/>
        <v>7.657637160338651E-5</v>
      </c>
      <c r="P3" s="6" t="s">
        <v>8</v>
      </c>
      <c r="Q3" s="8">
        <f>AVERAGE(I3:I754)</f>
        <v>9.1528571607546471E-4</v>
      </c>
      <c r="R3" s="8">
        <f t="shared" ref="R3:V3" si="1">AVERAGE(J3:J754)</f>
        <v>3.286409406236437E-3</v>
      </c>
      <c r="S3" s="8">
        <f t="shared" si="1"/>
        <v>1.7175667361051909E-3</v>
      </c>
      <c r="T3" s="8">
        <f t="shared" si="1"/>
        <v>6.6087463684468028E-4</v>
      </c>
      <c r="U3" s="8">
        <f t="shared" si="1"/>
        <v>1.2546278647126765E-4</v>
      </c>
      <c r="V3" s="8">
        <f t="shared" si="1"/>
        <v>7.6553250215528488E-4</v>
      </c>
      <c r="X3" s="12"/>
      <c r="Y3" s="12" t="s">
        <v>3</v>
      </c>
      <c r="Z3" s="12" t="s">
        <v>4</v>
      </c>
      <c r="AA3" s="12" t="s">
        <v>5</v>
      </c>
      <c r="AB3" s="12" t="s">
        <v>27</v>
      </c>
      <c r="AC3" s="12" t="s">
        <v>28</v>
      </c>
      <c r="AD3" s="3"/>
      <c r="AJ3" s="41"/>
      <c r="AK3" s="47" t="s">
        <v>3</v>
      </c>
      <c r="AL3" s="47" t="s">
        <v>4</v>
      </c>
      <c r="AM3" s="47" t="s">
        <v>5</v>
      </c>
      <c r="AN3" s="47" t="s">
        <v>27</v>
      </c>
      <c r="AO3" s="47" t="s">
        <v>28</v>
      </c>
      <c r="AP3" s="47" t="s">
        <v>6</v>
      </c>
    </row>
    <row r="4" spans="1:45" x14ac:dyDescent="0.3">
      <c r="A4" s="2">
        <v>46029</v>
      </c>
      <c r="B4" s="3">
        <v>260.33</v>
      </c>
      <c r="C4" s="3">
        <v>189.11</v>
      </c>
      <c r="D4" s="3">
        <v>431.41</v>
      </c>
      <c r="E4" s="3">
        <v>48.84</v>
      </c>
      <c r="F4" s="3">
        <v>35.049999999999997</v>
      </c>
      <c r="G4" s="4">
        <v>6920.93</v>
      </c>
      <c r="I4" s="3">
        <f t="shared" ref="I4:M67" si="2">LN(B4/B5)</f>
        <v>-7.7675494332428621E-3</v>
      </c>
      <c r="J4" s="3">
        <f t="shared" si="0"/>
        <v>9.9376399073116562E-3</v>
      </c>
      <c r="K4" s="3">
        <f t="shared" si="0"/>
        <v>-3.5864309529579884E-3</v>
      </c>
      <c r="L4" s="3">
        <f t="shared" si="0"/>
        <v>-1.0995834674529465E-2</v>
      </c>
      <c r="M4" s="3">
        <f t="shared" si="0"/>
        <v>-2.8685881434848626E-2</v>
      </c>
      <c r="N4" s="3">
        <f t="shared" si="0"/>
        <v>-3.4459042806426455E-3</v>
      </c>
      <c r="P4" s="7" t="s">
        <v>9</v>
      </c>
      <c r="Q4" s="9">
        <f>Q3*252</f>
        <v>0.23065200045101711</v>
      </c>
      <c r="R4" s="9">
        <f t="shared" ref="R4:V4" si="3">R3*252</f>
        <v>0.82817517037158217</v>
      </c>
      <c r="S4" s="9">
        <f t="shared" si="3"/>
        <v>0.4328268174985081</v>
      </c>
      <c r="T4" s="9">
        <f t="shared" si="3"/>
        <v>0.16654040848485943</v>
      </c>
      <c r="U4" s="9">
        <f t="shared" si="3"/>
        <v>3.1616622190759447E-2</v>
      </c>
      <c r="V4" s="9">
        <f t="shared" si="3"/>
        <v>0.1929141905431318</v>
      </c>
      <c r="X4" s="12" t="s">
        <v>30</v>
      </c>
      <c r="Y4" s="32">
        <v>0.31404960231179102</v>
      </c>
      <c r="Z4" s="32">
        <v>2.156585913702716E-2</v>
      </c>
      <c r="AA4" s="32">
        <v>0</v>
      </c>
      <c r="AB4" s="32">
        <v>0.16472596664972114</v>
      </c>
      <c r="AC4" s="32">
        <v>0.49965857190146079</v>
      </c>
      <c r="AD4" s="13">
        <f>SUM(Y4:AC4)</f>
        <v>1</v>
      </c>
      <c r="AJ4" s="42" t="s">
        <v>9</v>
      </c>
      <c r="AK4" s="9">
        <v>0.23065200045101711</v>
      </c>
      <c r="AL4" s="9">
        <v>0.82817517037158217</v>
      </c>
      <c r="AM4" s="9">
        <v>0.4328268174985081</v>
      </c>
      <c r="AN4" s="9">
        <v>0.16654040848485943</v>
      </c>
      <c r="AO4" s="9">
        <v>3.1616622190759447E-2</v>
      </c>
      <c r="AP4" s="9">
        <v>0.1929141905431318</v>
      </c>
    </row>
    <row r="5" spans="1:45" x14ac:dyDescent="0.3">
      <c r="A5" s="2">
        <v>46028</v>
      </c>
      <c r="B5" s="3">
        <v>262.36</v>
      </c>
      <c r="C5" s="3">
        <v>187.24</v>
      </c>
      <c r="D5" s="3">
        <v>432.96</v>
      </c>
      <c r="E5" s="3">
        <v>49.38</v>
      </c>
      <c r="F5" s="3">
        <v>36.07</v>
      </c>
      <c r="G5" s="4">
        <v>6944.82</v>
      </c>
      <c r="I5" s="3">
        <f t="shared" si="2"/>
        <v>-1.8504360927380031E-2</v>
      </c>
      <c r="J5" s="3">
        <f t="shared" si="0"/>
        <v>-4.6888406449773386E-3</v>
      </c>
      <c r="K5" s="3">
        <f t="shared" si="0"/>
        <v>-4.2306479709836572E-2</v>
      </c>
      <c r="L5" s="3">
        <f t="shared" si="0"/>
        <v>6.2976338152214012E-3</v>
      </c>
      <c r="M5" s="3">
        <f t="shared" si="0"/>
        <v>4.4456866774561536E-3</v>
      </c>
      <c r="N5" s="3">
        <f t="shared" si="0"/>
        <v>6.1775890172726979E-3</v>
      </c>
      <c r="P5" s="6" t="s">
        <v>10</v>
      </c>
      <c r="Q5" s="8">
        <f>STDEV(I3:I754)</f>
        <v>1.5980678273540556E-2</v>
      </c>
      <c r="R5" s="8">
        <f t="shared" ref="R5:V5" si="4">STDEV(J3:J754)</f>
        <v>3.1129773257802112E-2</v>
      </c>
      <c r="S5" s="8">
        <f t="shared" si="4"/>
        <v>3.7424171620322966E-2</v>
      </c>
      <c r="T5" s="8">
        <f t="shared" si="4"/>
        <v>1.9127604881272933E-2</v>
      </c>
      <c r="U5" s="8">
        <f t="shared" si="4"/>
        <v>1.3711552877514174E-2</v>
      </c>
      <c r="V5" s="8">
        <f t="shared" si="4"/>
        <v>9.4196183473780754E-3</v>
      </c>
      <c r="X5" s="12" t="s">
        <v>29</v>
      </c>
      <c r="Y5" s="32">
        <v>0.31404932570480959</v>
      </c>
      <c r="Z5" s="32">
        <v>2.156596215384023E-2</v>
      </c>
      <c r="AA5" s="32">
        <v>0</v>
      </c>
      <c r="AB5" s="32">
        <v>0.16472625492274007</v>
      </c>
      <c r="AC5" s="32">
        <v>0.49965845721861046</v>
      </c>
      <c r="AD5" s="33">
        <f>SUM(Y5:AC5)</f>
        <v>1.0000000000000004</v>
      </c>
      <c r="AJ5" s="43" t="s">
        <v>11</v>
      </c>
      <c r="AK5" s="35">
        <v>0.25368540296352809</v>
      </c>
      <c r="AL5" s="35">
        <v>0.49416983045984025</v>
      </c>
      <c r="AM5" s="35">
        <v>0.59409030677985442</v>
      </c>
      <c r="AN5" s="35">
        <v>0.30364131415291995</v>
      </c>
      <c r="AO5" s="35">
        <v>0.21766415401448752</v>
      </c>
      <c r="AP5" s="35">
        <v>0.15311405378820447</v>
      </c>
    </row>
    <row r="6" spans="1:45" x14ac:dyDescent="0.3">
      <c r="A6" s="2">
        <v>46027</v>
      </c>
      <c r="B6" s="3">
        <v>267.26</v>
      </c>
      <c r="C6" s="3">
        <v>188.12</v>
      </c>
      <c r="D6" s="3">
        <v>451.67</v>
      </c>
      <c r="E6" s="3">
        <v>49.07</v>
      </c>
      <c r="F6" s="3">
        <v>35.909999999999997</v>
      </c>
      <c r="G6" s="4">
        <v>6902.05</v>
      </c>
      <c r="I6" s="3">
        <f t="shared" si="2"/>
        <v>-1.3933753214987847E-2</v>
      </c>
      <c r="J6" s="3">
        <f t="shared" si="0"/>
        <v>-3.8729920816185518E-3</v>
      </c>
      <c r="K6" s="3">
        <f t="shared" si="0"/>
        <v>3.0573109733647949E-2</v>
      </c>
      <c r="L6" s="3">
        <f t="shared" si="0"/>
        <v>4.0125952593826959E-2</v>
      </c>
      <c r="M6" s="3">
        <f t="shared" si="0"/>
        <v>-9.9751450568197324E-3</v>
      </c>
      <c r="N6" s="3">
        <f t="shared" si="0"/>
        <v>6.3340841341208987E-3</v>
      </c>
      <c r="P6" s="7" t="s">
        <v>11</v>
      </c>
      <c r="Q6" s="9">
        <f>SQRT(252)*Q5</f>
        <v>0.25368540296352809</v>
      </c>
      <c r="R6" s="9">
        <f t="shared" ref="R6:V6" si="5">SQRT(252)*R5</f>
        <v>0.49416983045984025</v>
      </c>
      <c r="S6" s="9">
        <f t="shared" si="5"/>
        <v>0.59409030677985442</v>
      </c>
      <c r="T6" s="9">
        <f t="shared" si="5"/>
        <v>0.30364131415291995</v>
      </c>
      <c r="U6" s="9">
        <f t="shared" si="5"/>
        <v>0.21766415401448752</v>
      </c>
      <c r="V6" s="9">
        <f t="shared" si="5"/>
        <v>0.1495318055538217</v>
      </c>
      <c r="X6" s="3"/>
      <c r="Y6" s="3"/>
      <c r="Z6" s="3"/>
      <c r="AA6" s="3"/>
      <c r="AB6" s="3"/>
      <c r="AC6" s="3"/>
      <c r="AD6" s="3"/>
      <c r="AJ6" s="44" t="s">
        <v>31</v>
      </c>
      <c r="AK6" s="37">
        <f>V20/V25</f>
        <v>1.1561863376361408</v>
      </c>
      <c r="AL6" s="37">
        <f>V21/V25</f>
        <v>2.1325124062863545</v>
      </c>
      <c r="AM6" s="37">
        <f>V22/V25</f>
        <v>2.3076776300212929</v>
      </c>
      <c r="AN6" s="37">
        <f>V23/V25</f>
        <v>1.0041814435787675</v>
      </c>
      <c r="AO6" s="37">
        <f>V24/V25</f>
        <v>0.73127609109240199</v>
      </c>
      <c r="AP6" s="37">
        <f>V25/V25</f>
        <v>1</v>
      </c>
    </row>
    <row r="7" spans="1:45" x14ac:dyDescent="0.3">
      <c r="A7" s="2">
        <v>46024</v>
      </c>
      <c r="B7" s="3">
        <v>271.01</v>
      </c>
      <c r="C7" s="3">
        <v>188.85</v>
      </c>
      <c r="D7" s="3">
        <v>438.07</v>
      </c>
      <c r="E7" s="3">
        <v>47.14</v>
      </c>
      <c r="F7" s="3">
        <v>36.270000000000003</v>
      </c>
      <c r="G7" s="4">
        <v>6858.47</v>
      </c>
      <c r="I7" s="3">
        <f t="shared" si="2"/>
        <v>-3.1315073391992238E-3</v>
      </c>
      <c r="J7" s="3">
        <f t="shared" si="0"/>
        <v>1.2521810074595619E-2</v>
      </c>
      <c r="K7" s="3">
        <f t="shared" si="0"/>
        <v>-2.6246451922947098E-2</v>
      </c>
      <c r="L7" s="3">
        <f t="shared" si="0"/>
        <v>3.4530836872391488E-2</v>
      </c>
      <c r="M7" s="3">
        <f t="shared" si="0"/>
        <v>5.5157199412732142E-4</v>
      </c>
      <c r="N7" s="3">
        <f t="shared" si="0"/>
        <v>1.8928827007984883E-3</v>
      </c>
      <c r="X7" s="12" t="s">
        <v>37</v>
      </c>
      <c r="Y7" s="3"/>
      <c r="Z7" s="3"/>
      <c r="AA7" s="99" t="s">
        <v>38</v>
      </c>
      <c r="AB7" s="99"/>
      <c r="AC7" s="3"/>
      <c r="AD7" s="3"/>
      <c r="AJ7" s="45" t="s">
        <v>33</v>
      </c>
      <c r="AK7" s="36">
        <f>($AP$4-$AH$2)*AK6+$AH$2</f>
        <v>0.2167348234016041</v>
      </c>
      <c r="AL7" s="36">
        <f>($AP$4-$AH$2)*AL6+$AH$2</f>
        <v>0.36563840346794957</v>
      </c>
      <c r="AM7" s="36">
        <f>($AP$4-$AH$2)*AM6+$AH$2</f>
        <v>0.39235358577719032</v>
      </c>
      <c r="AN7" s="36">
        <f>($AP$4-$AH$2)*AN6+$AH$2</f>
        <v>0.19355192002584931</v>
      </c>
      <c r="AO7" s="36">
        <f>($AP$4-$AH$2)*AO6+$AH$2</f>
        <v>0.15192998109650321</v>
      </c>
    </row>
    <row r="8" spans="1:45" x14ac:dyDescent="0.3">
      <c r="A8" s="2">
        <v>46022</v>
      </c>
      <c r="B8" s="3">
        <v>271.86</v>
      </c>
      <c r="C8" s="3">
        <v>186.5</v>
      </c>
      <c r="D8" s="3">
        <v>449.72</v>
      </c>
      <c r="E8" s="3">
        <v>45.54</v>
      </c>
      <c r="F8" s="3">
        <v>36.25</v>
      </c>
      <c r="G8" s="4">
        <v>6845.5</v>
      </c>
      <c r="I8" s="3">
        <f t="shared" si="2"/>
        <v>-4.4775646429776467E-3</v>
      </c>
      <c r="J8" s="3">
        <f t="shared" si="0"/>
        <v>-5.5609169076088118E-3</v>
      </c>
      <c r="K8" s="3">
        <f t="shared" si="0"/>
        <v>-1.0418719472844623E-2</v>
      </c>
      <c r="L8" s="3">
        <f t="shared" si="0"/>
        <v>-1.2004946096823486E-2</v>
      </c>
      <c r="M8" s="3">
        <f t="shared" si="0"/>
        <v>-4.6786929987781061E-3</v>
      </c>
      <c r="N8" s="3">
        <f t="shared" si="0"/>
        <v>-7.3848334483381777E-3</v>
      </c>
      <c r="X8" s="12" t="s">
        <v>17</v>
      </c>
      <c r="Y8" s="14" cm="1">
        <f t="array" ref="Y8">MMULT(Y4:AC4,MMULT(Q20:U24,TRANSPOSE(Y4:AC4)))</f>
        <v>3.3221607318329266E-2</v>
      </c>
      <c r="Z8" s="3"/>
      <c r="AA8" s="12" t="s">
        <v>17</v>
      </c>
      <c r="AB8" s="14" cm="1">
        <f t="array" ref="AB8">MMULT(Y5:AC5,MMULT(Q20:U24,TRANSPOSE(Y5:AC5)))</f>
        <v>3.3221607318315888E-2</v>
      </c>
      <c r="AC8" s="3"/>
      <c r="AD8" s="3"/>
      <c r="AJ8" s="46" t="s">
        <v>35</v>
      </c>
      <c r="AK8" s="38">
        <f>AK4-AK7</f>
        <v>1.3917177049413004E-2</v>
      </c>
      <c r="AL8" s="38">
        <f>AL4-AL7</f>
        <v>0.4625367669036326</v>
      </c>
      <c r="AM8" s="38">
        <f>AM4-AM7</f>
        <v>4.0473231721317782E-2</v>
      </c>
      <c r="AN8" s="38">
        <f>AN4-AN7</f>
        <v>-2.701151154098988E-2</v>
      </c>
      <c r="AO8" s="38">
        <f>AO4-AO7</f>
        <v>-0.12031335890574377</v>
      </c>
    </row>
    <row r="9" spans="1:45" x14ac:dyDescent="0.3">
      <c r="A9" s="2">
        <v>46021</v>
      </c>
      <c r="B9" s="3">
        <v>273.08</v>
      </c>
      <c r="C9" s="3">
        <v>187.54</v>
      </c>
      <c r="D9" s="3">
        <v>454.43</v>
      </c>
      <c r="E9" s="3">
        <v>46.09</v>
      </c>
      <c r="F9" s="3">
        <v>36.42</v>
      </c>
      <c r="G9" s="4">
        <v>6896.24</v>
      </c>
      <c r="I9" s="3">
        <f t="shared" si="2"/>
        <v>-2.4870175938038587E-3</v>
      </c>
      <c r="J9" s="3">
        <f t="shared" si="0"/>
        <v>-3.6193354391626667E-3</v>
      </c>
      <c r="K9" s="3">
        <f t="shared" si="0"/>
        <v>-1.1399688035029425E-2</v>
      </c>
      <c r="L9" s="3">
        <f t="shared" si="0"/>
        <v>1.552452738072135E-2</v>
      </c>
      <c r="M9" s="3">
        <f t="shared" si="0"/>
        <v>-8.2034914528277911E-3</v>
      </c>
      <c r="N9" s="3">
        <f t="shared" si="0"/>
        <v>-1.3766142974067502E-3</v>
      </c>
      <c r="P9" s="97" t="s">
        <v>12</v>
      </c>
      <c r="Q9" s="97"/>
      <c r="R9" s="97"/>
      <c r="S9" s="97"/>
      <c r="T9" s="97"/>
      <c r="U9" s="97"/>
      <c r="V9" s="97"/>
      <c r="X9" s="12" t="s">
        <v>18</v>
      </c>
      <c r="Y9" s="15">
        <f>SQRT(Y8)</f>
        <v>0.18226795472141905</v>
      </c>
      <c r="Z9" s="3"/>
      <c r="AA9" s="12" t="s">
        <v>18</v>
      </c>
      <c r="AB9" s="15">
        <f>SQRT(AB8)</f>
        <v>0.18226795472138235</v>
      </c>
      <c r="AC9" s="3"/>
      <c r="AD9" s="3"/>
      <c r="AJ9" s="60" t="s">
        <v>44</v>
      </c>
      <c r="AK9" s="58">
        <f>AK6*$AP$5</f>
        <v>0.17702837709000718</v>
      </c>
      <c r="AL9" s="58">
        <f t="shared" ref="AL9:AO9" si="6">AL6*$AP$5</f>
        <v>0.32651761928014222</v>
      </c>
      <c r="AM9" s="58">
        <f t="shared" si="6"/>
        <v>0.35333787676891648</v>
      </c>
      <c r="AN9" s="58">
        <f t="shared" si="6"/>
        <v>0.15375429156523623</v>
      </c>
      <c r="AO9" s="58">
        <f t="shared" si="6"/>
        <v>0.11196864674554995</v>
      </c>
    </row>
    <row r="10" spans="1:45" x14ac:dyDescent="0.3">
      <c r="A10" s="2">
        <v>46020</v>
      </c>
      <c r="B10" s="3">
        <v>273.76</v>
      </c>
      <c r="C10" s="3">
        <v>188.22</v>
      </c>
      <c r="D10" s="3">
        <v>459.64</v>
      </c>
      <c r="E10" s="3">
        <v>45.38</v>
      </c>
      <c r="F10" s="3">
        <v>36.72</v>
      </c>
      <c r="G10" s="4">
        <v>6905.74</v>
      </c>
      <c r="I10" s="3">
        <f t="shared" si="2"/>
        <v>1.3158858540342575E-3</v>
      </c>
      <c r="J10" s="3">
        <f t="shared" si="0"/>
        <v>-1.2198171052351379E-2</v>
      </c>
      <c r="K10" s="3">
        <f t="shared" si="0"/>
        <v>-3.3271149666535153E-2</v>
      </c>
      <c r="L10" s="3">
        <f t="shared" si="0"/>
        <v>2.8688092057605912E-3</v>
      </c>
      <c r="M10" s="3">
        <f t="shared" si="0"/>
        <v>2.7270265059250319E-3</v>
      </c>
      <c r="N10" s="3">
        <f t="shared" si="0"/>
        <v>-3.4982053182543806E-3</v>
      </c>
      <c r="P10" s="10"/>
      <c r="Q10" s="10" t="s">
        <v>3</v>
      </c>
      <c r="R10" s="10" t="s">
        <v>4</v>
      </c>
      <c r="S10" s="10" t="s">
        <v>5</v>
      </c>
      <c r="T10" s="10" t="s">
        <v>27</v>
      </c>
      <c r="U10" s="10" t="s">
        <v>28</v>
      </c>
      <c r="V10" s="10" t="s">
        <v>6</v>
      </c>
      <c r="X10" s="12" t="s">
        <v>19</v>
      </c>
      <c r="Y10" s="15">
        <f>SUMPRODUCT(Q4:U4,Y4:AC4)</f>
        <v>0.13352752414516877</v>
      </c>
      <c r="Z10" s="3"/>
      <c r="AA10" s="12" t="s">
        <v>19</v>
      </c>
      <c r="AB10" s="15">
        <f>SUMPRODUCT(Q4:U4,Y5:AC5)</f>
        <v>0.13352759004440387</v>
      </c>
      <c r="AC10" s="3"/>
      <c r="AD10" s="3"/>
      <c r="AJ10" s="60" t="s">
        <v>45</v>
      </c>
      <c r="AK10" s="59">
        <f>AK5-AK9</f>
        <v>7.6657025873520912E-2</v>
      </c>
      <c r="AL10" s="59">
        <f t="shared" ref="AL10:AO10" si="7">AL5-AL9</f>
        <v>0.16765221117969803</v>
      </c>
      <c r="AM10" s="59">
        <f t="shared" si="7"/>
        <v>0.24075243001093793</v>
      </c>
      <c r="AN10" s="59">
        <f t="shared" si="7"/>
        <v>0.14988702258768372</v>
      </c>
      <c r="AO10" s="59">
        <f t="shared" si="7"/>
        <v>0.10569550726893757</v>
      </c>
      <c r="AQ10" s="55"/>
      <c r="AR10" s="55"/>
    </row>
    <row r="11" spans="1:45" x14ac:dyDescent="0.3">
      <c r="A11" s="2">
        <v>46017</v>
      </c>
      <c r="B11" s="3">
        <v>273.39999999999998</v>
      </c>
      <c r="C11" s="3">
        <v>190.53</v>
      </c>
      <c r="D11" s="3">
        <v>475.19</v>
      </c>
      <c r="E11" s="3">
        <v>45.25</v>
      </c>
      <c r="F11" s="3">
        <v>36.619999999999997</v>
      </c>
      <c r="G11" s="4">
        <v>6929.94</v>
      </c>
      <c r="I11" s="3">
        <f t="shared" si="2"/>
        <v>-1.4985109070465431E-3</v>
      </c>
      <c r="J11" s="3">
        <f t="shared" si="0"/>
        <v>1.0128271419913706E-2</v>
      </c>
      <c r="K11" s="3">
        <f t="shared" si="0"/>
        <v>-2.125856923653283E-2</v>
      </c>
      <c r="L11" s="3">
        <f t="shared" si="0"/>
        <v>-1.1043623430531026E-3</v>
      </c>
      <c r="M11" s="3">
        <f t="shared" si="0"/>
        <v>-4.359679929810463E-3</v>
      </c>
      <c r="N11" s="3">
        <f t="shared" si="0"/>
        <v>-3.0442959723623621E-4</v>
      </c>
      <c r="P11" s="6" t="s">
        <v>3</v>
      </c>
      <c r="Q11" s="6">
        <f>VARP(Sheet1!$I$3:$I$754)</f>
        <v>2.550424742551739E-4</v>
      </c>
      <c r="R11" s="6">
        <v>1.8278924063642785E-4</v>
      </c>
      <c r="S11" s="6">
        <v>2.6089062401406785E-4</v>
      </c>
      <c r="T11" s="6">
        <v>7.815672475735812E-5</v>
      </c>
      <c r="U11" s="6">
        <v>6.9886489914782016E-5</v>
      </c>
      <c r="V11" s="6">
        <v>1.0245108058382748E-4</v>
      </c>
      <c r="X11" s="12" t="s">
        <v>20</v>
      </c>
      <c r="Y11" s="16">
        <f>Y10-AH2</f>
        <v>9.3127524145168783E-2</v>
      </c>
      <c r="Z11" s="3"/>
      <c r="AA11" s="12" t="s">
        <v>20</v>
      </c>
      <c r="AB11" s="16">
        <f>AB10-AH2</f>
        <v>9.312759004440388E-2</v>
      </c>
      <c r="AC11" s="3"/>
      <c r="AD11" s="3"/>
      <c r="AQ11" s="51"/>
      <c r="AR11" s="51"/>
    </row>
    <row r="12" spans="1:45" x14ac:dyDescent="0.3">
      <c r="A12" s="2">
        <v>46015</v>
      </c>
      <c r="B12" s="3">
        <v>273.81</v>
      </c>
      <c r="C12" s="3">
        <v>188.61</v>
      </c>
      <c r="D12" s="3">
        <v>485.4</v>
      </c>
      <c r="E12" s="3">
        <v>45.3</v>
      </c>
      <c r="F12" s="3">
        <v>36.78</v>
      </c>
      <c r="G12" s="4">
        <v>6932.05</v>
      </c>
      <c r="I12" s="3">
        <f t="shared" si="2"/>
        <v>5.3097145821295851E-3</v>
      </c>
      <c r="J12" s="3">
        <f t="shared" si="0"/>
        <v>-3.1761182805900893E-3</v>
      </c>
      <c r="K12" s="3">
        <f t="shared" si="0"/>
        <v>-3.2957073710190474E-4</v>
      </c>
      <c r="L12" s="3">
        <f t="shared" si="0"/>
        <v>2.4312090658000019E-3</v>
      </c>
      <c r="M12" s="3">
        <f t="shared" si="0"/>
        <v>5.1792401450595953E-3</v>
      </c>
      <c r="N12" s="3">
        <f t="shared" si="0"/>
        <v>3.2163381731992791E-3</v>
      </c>
      <c r="P12" s="6" t="s">
        <v>4</v>
      </c>
      <c r="Q12" s="6">
        <v>1.8278924063642785E-4</v>
      </c>
      <c r="R12" s="6">
        <f>VARP(Sheet1!$J$3:$J$754)</f>
        <v>9.6777413576424308E-4</v>
      </c>
      <c r="S12" s="6">
        <v>4.3794761749029495E-4</v>
      </c>
      <c r="T12" s="6">
        <v>1.2443068876025952E-4</v>
      </c>
      <c r="U12" s="6">
        <v>6.6163089165241918E-5</v>
      </c>
      <c r="V12" s="6">
        <v>1.8896452351196318E-4</v>
      </c>
      <c r="X12" s="12" t="s">
        <v>21</v>
      </c>
      <c r="Y12" s="40">
        <f>Y11/Y9</f>
        <v>0.51093745078506103</v>
      </c>
      <c r="Z12" s="3"/>
      <c r="AA12" s="12" t="s">
        <v>21</v>
      </c>
      <c r="AB12" s="40">
        <f>AB11/AB9</f>
        <v>0.51093781233656888</v>
      </c>
      <c r="AC12" s="3"/>
      <c r="AD12" s="3"/>
      <c r="AQ12" s="51"/>
      <c r="AR12" s="51"/>
    </row>
    <row r="13" spans="1:45" x14ac:dyDescent="0.3">
      <c r="A13" s="2">
        <v>46014</v>
      </c>
      <c r="B13" s="3">
        <v>272.36</v>
      </c>
      <c r="C13" s="3">
        <v>189.21</v>
      </c>
      <c r="D13" s="3">
        <v>485.56</v>
      </c>
      <c r="E13" s="3">
        <v>45.19</v>
      </c>
      <c r="F13" s="3">
        <v>36.590000000000003</v>
      </c>
      <c r="G13" s="4">
        <v>6909.79</v>
      </c>
      <c r="I13" s="3">
        <f t="shared" si="2"/>
        <v>5.116606969895846E-3</v>
      </c>
      <c r="J13" s="3">
        <f t="shared" si="0"/>
        <v>2.9607955185696779E-2</v>
      </c>
      <c r="K13" s="3">
        <f t="shared" si="0"/>
        <v>-6.5073257165847677E-3</v>
      </c>
      <c r="L13" s="3">
        <f t="shared" si="0"/>
        <v>-8.1543151557931619E-3</v>
      </c>
      <c r="M13" s="3">
        <f t="shared" si="0"/>
        <v>1.3674280812549875E-3</v>
      </c>
      <c r="N13" s="3">
        <f t="shared" si="0"/>
        <v>4.5400954671889586E-3</v>
      </c>
      <c r="P13" s="6" t="s">
        <v>5</v>
      </c>
      <c r="Q13" s="6">
        <v>2.6089062401406785E-4</v>
      </c>
      <c r="R13" s="6">
        <v>4.3794761749029495E-4</v>
      </c>
      <c r="S13" s="6">
        <f>VARP(Sheet1!$K$3:$K$754)</f>
        <v>1.3987061631941591E-3</v>
      </c>
      <c r="T13" s="6">
        <v>1.8660145473967311E-4</v>
      </c>
      <c r="U13" s="6">
        <v>9.7088439718462952E-5</v>
      </c>
      <c r="V13" s="6">
        <v>2.0448612748545696E-4</v>
      </c>
      <c r="AQ13" s="51"/>
      <c r="AR13" s="51"/>
    </row>
    <row r="14" spans="1:45" x14ac:dyDescent="0.3">
      <c r="A14" s="2">
        <v>46013</v>
      </c>
      <c r="B14" s="3">
        <v>270.97000000000003</v>
      </c>
      <c r="C14" s="3">
        <v>183.69</v>
      </c>
      <c r="D14" s="3">
        <v>488.73</v>
      </c>
      <c r="E14" s="3">
        <v>45.56</v>
      </c>
      <c r="F14" s="3">
        <v>36.54</v>
      </c>
      <c r="G14" s="4">
        <v>6878.49</v>
      </c>
      <c r="I14" s="3">
        <f t="shared" si="2"/>
        <v>-9.9148873332354798E-3</v>
      </c>
      <c r="J14" s="3">
        <f t="shared" si="0"/>
        <v>1.4807773037192643E-2</v>
      </c>
      <c r="K14" s="3">
        <f t="shared" si="0"/>
        <v>1.5527205645663913E-2</v>
      </c>
      <c r="L14" s="3">
        <f t="shared" si="0"/>
        <v>1.8832948333092178E-2</v>
      </c>
      <c r="M14" s="3">
        <f t="shared" si="0"/>
        <v>1.0952903614147435E-3</v>
      </c>
      <c r="N14" s="3">
        <f t="shared" si="0"/>
        <v>6.415836501950419E-3</v>
      </c>
      <c r="P14" s="6" t="s">
        <v>27</v>
      </c>
      <c r="Q14" s="6">
        <v>7.815672475735812E-5</v>
      </c>
      <c r="R14" s="6">
        <v>1.2443068876025952E-4</v>
      </c>
      <c r="S14" s="6">
        <v>1.8660145473967311E-4</v>
      </c>
      <c r="T14" s="6">
        <f>VARP(Sheet1!$L$3:$L$754)</f>
        <v>3.6537874553067314E-4</v>
      </c>
      <c r="U14" s="6">
        <v>8.8892246088841879E-5</v>
      </c>
      <c r="V14" s="6">
        <v>8.8981741651793629E-5</v>
      </c>
      <c r="AJ14" s="62"/>
      <c r="AK14" s="62"/>
      <c r="AL14" s="62"/>
      <c r="AM14" s="48" t="s">
        <v>31</v>
      </c>
      <c r="AN14" s="45" t="s">
        <v>34</v>
      </c>
      <c r="AO14" s="105" t="s">
        <v>41</v>
      </c>
      <c r="AP14" s="105"/>
      <c r="AQ14" s="60" t="s">
        <v>44</v>
      </c>
      <c r="AR14" s="89" t="s">
        <v>45</v>
      </c>
      <c r="AS14" s="55"/>
    </row>
    <row r="15" spans="1:45" x14ac:dyDescent="0.3">
      <c r="A15" s="2">
        <v>46010</v>
      </c>
      <c r="B15" s="3">
        <v>273.67</v>
      </c>
      <c r="C15" s="3">
        <v>180.99</v>
      </c>
      <c r="D15" s="3">
        <v>481.2</v>
      </c>
      <c r="E15" s="3">
        <v>44.71</v>
      </c>
      <c r="F15" s="3">
        <v>36.5</v>
      </c>
      <c r="G15" s="4">
        <v>6834.5</v>
      </c>
      <c r="I15" s="3">
        <f t="shared" si="2"/>
        <v>5.4226491284583497E-3</v>
      </c>
      <c r="J15" s="3">
        <f t="shared" si="0"/>
        <v>3.8582207720310666E-2</v>
      </c>
      <c r="K15" s="3">
        <f t="shared" si="0"/>
        <v>-4.4994218375708573E-3</v>
      </c>
      <c r="L15" s="3">
        <f t="shared" si="0"/>
        <v>5.3823857232841435E-3</v>
      </c>
      <c r="M15" s="3">
        <f t="shared" si="0"/>
        <v>-3.0091665436990231E-3</v>
      </c>
      <c r="N15" s="3">
        <f t="shared" si="0"/>
        <v>8.7793728265068479E-3</v>
      </c>
      <c r="P15" s="6" t="s">
        <v>28</v>
      </c>
      <c r="Q15" s="6">
        <v>6.9886489914782016E-5</v>
      </c>
      <c r="R15" s="6">
        <v>6.6163089165241918E-5</v>
      </c>
      <c r="S15" s="6">
        <v>9.7088439718462952E-5</v>
      </c>
      <c r="T15" s="6">
        <v>8.8892246088841879E-5</v>
      </c>
      <c r="U15" s="6">
        <f>VARP(Sheet1!$M$3:$M$754)</f>
        <v>1.877566734268129E-4</v>
      </c>
      <c r="V15" s="6">
        <v>6.4799265740079912E-5</v>
      </c>
      <c r="X15" s="98" t="s">
        <v>22</v>
      </c>
      <c r="Y15" s="98"/>
      <c r="Z15" s="98"/>
      <c r="AA15" s="98"/>
      <c r="AB15" s="98"/>
      <c r="AC15" s="98"/>
      <c r="AD15" s="98"/>
      <c r="AJ15" s="61" t="s">
        <v>39</v>
      </c>
      <c r="AK15" s="61"/>
      <c r="AL15" s="61"/>
      <c r="AM15" s="53">
        <f>SUMPRODUCT(AK6:AO6,Y4:AC4)</f>
        <v>0.93989244802102756</v>
      </c>
      <c r="AN15" s="36">
        <f>($AP$4-$AH$2)*AM15+$AH$2</f>
        <v>0.18374693590752961</v>
      </c>
      <c r="AO15" s="106">
        <f>Y10-AN15</f>
        <v>-5.0219411762360833E-2</v>
      </c>
      <c r="AP15" s="106"/>
      <c r="AQ15" s="58">
        <f>$AP$5*AM15</f>
        <v>0.1439107428414188</v>
      </c>
      <c r="AR15" s="90">
        <f>Y9-AQ15</f>
        <v>3.8357211880000242E-2</v>
      </c>
      <c r="AS15" s="88"/>
    </row>
    <row r="16" spans="1:45" x14ac:dyDescent="0.3">
      <c r="A16" s="2">
        <v>46009</v>
      </c>
      <c r="B16" s="3">
        <v>272.19</v>
      </c>
      <c r="C16" s="3">
        <v>174.14</v>
      </c>
      <c r="D16" s="3">
        <v>483.37</v>
      </c>
      <c r="E16" s="3">
        <v>44.47</v>
      </c>
      <c r="F16" s="3">
        <v>36.61</v>
      </c>
      <c r="G16" s="4">
        <v>6774.76</v>
      </c>
      <c r="I16" s="3">
        <f t="shared" si="2"/>
        <v>1.2866939260253387E-3</v>
      </c>
      <c r="J16" s="3">
        <f t="shared" si="0"/>
        <v>1.8546955662597609E-2</v>
      </c>
      <c r="K16" s="3">
        <f t="shared" si="0"/>
        <v>3.3896558012283605E-2</v>
      </c>
      <c r="L16" s="3">
        <f t="shared" si="0"/>
        <v>-1.8271453045517468E-2</v>
      </c>
      <c r="M16" s="3">
        <f t="shared" si="0"/>
        <v>3.0091665436990391E-3</v>
      </c>
      <c r="N16" s="3">
        <f t="shared" si="0"/>
        <v>7.9030122681597124E-3</v>
      </c>
      <c r="P16" s="6" t="s">
        <v>6</v>
      </c>
      <c r="Q16" s="6">
        <v>1.0245108058382748E-4</v>
      </c>
      <c r="R16" s="6">
        <v>1.8896452351196318E-4</v>
      </c>
      <c r="S16" s="6">
        <v>2.0448612748545696E-4</v>
      </c>
      <c r="T16" s="6">
        <v>8.8981741651793629E-5</v>
      </c>
      <c r="U16" s="6">
        <v>6.4799265740079912E-5</v>
      </c>
      <c r="V16" s="6">
        <f>VARP(Sheet1!$N$3:$N$754)</f>
        <v>8.86112188397693E-5</v>
      </c>
      <c r="X16" s="17"/>
      <c r="Y16" s="17"/>
      <c r="Z16" s="17"/>
      <c r="AA16" s="17"/>
      <c r="AB16" s="17"/>
      <c r="AC16" s="17"/>
      <c r="AD16" s="17"/>
      <c r="AJ16" s="52" t="s">
        <v>40</v>
      </c>
      <c r="AK16" s="52"/>
      <c r="AL16" s="52"/>
      <c r="AM16" s="53">
        <f>SUMPRODUCT(AK6:AO6,Y5:AC5)</f>
        <v>0.93989255351003642</v>
      </c>
      <c r="AN16" s="36">
        <f>($AP$4-$AH$2)*AM16+$AH$2</f>
        <v>0.18374695199610039</v>
      </c>
      <c r="AO16" s="106">
        <f>AB10-AN16</f>
        <v>-5.0219361951696517E-2</v>
      </c>
      <c r="AP16" s="106"/>
      <c r="AQ16" s="58">
        <f t="shared" ref="AQ16:AQ19" si="8">$AP$5*AM16</f>
        <v>0.14391075899326858</v>
      </c>
      <c r="AR16" s="90">
        <f>AB9-AQ16</f>
        <v>3.8357195728113774E-2</v>
      </c>
      <c r="AS16" s="88"/>
    </row>
    <row r="17" spans="1:45" x14ac:dyDescent="0.3">
      <c r="A17" s="2">
        <v>46008</v>
      </c>
      <c r="B17" s="3">
        <v>271.83999999999997</v>
      </c>
      <c r="C17" s="3">
        <v>170.94</v>
      </c>
      <c r="D17" s="3">
        <v>467.26</v>
      </c>
      <c r="E17" s="3">
        <v>45.29</v>
      </c>
      <c r="F17" s="3">
        <v>36.5</v>
      </c>
      <c r="G17" s="4">
        <v>6721.43</v>
      </c>
      <c r="I17" s="3">
        <f t="shared" si="2"/>
        <v>-1.013825135315272E-2</v>
      </c>
      <c r="J17" s="3">
        <f t="shared" si="0"/>
        <v>-3.8896660329835825E-2</v>
      </c>
      <c r="K17" s="3">
        <f t="shared" si="0"/>
        <v>-4.7274615227275441E-2</v>
      </c>
      <c r="L17" s="3">
        <f t="shared" si="0"/>
        <v>5.9794220895363183E-3</v>
      </c>
      <c r="M17" s="3">
        <f t="shared" si="0"/>
        <v>-8.1855845864392939E-3</v>
      </c>
      <c r="N17" s="3">
        <f t="shared" si="0"/>
        <v>-1.1659917229324452E-2</v>
      </c>
      <c r="X17" s="7"/>
      <c r="Y17" s="7" t="s">
        <v>3</v>
      </c>
      <c r="Z17" s="7" t="s">
        <v>4</v>
      </c>
      <c r="AA17" s="7" t="s">
        <v>5</v>
      </c>
      <c r="AB17" s="7" t="s">
        <v>27</v>
      </c>
      <c r="AC17" s="7" t="s">
        <v>28</v>
      </c>
      <c r="AD17" s="17"/>
      <c r="AJ17" s="54" t="s">
        <v>42</v>
      </c>
      <c r="AK17" s="54"/>
      <c r="AL17" s="52"/>
      <c r="AM17" s="53">
        <f>SUMPRODUCT(AK6:AO6,Y18:AC18)</f>
        <v>1.9094977791333878</v>
      </c>
      <c r="AN17" s="36">
        <f>($AP$4-$AH$2)*AM17+$AH$2</f>
        <v>0.3316255081284365</v>
      </c>
      <c r="AO17" s="106">
        <f>Y24-AN17</f>
        <v>0.36132277333803264</v>
      </c>
      <c r="AP17" s="106"/>
      <c r="AQ17" s="58">
        <f t="shared" si="8"/>
        <v>0.29237094566268651</v>
      </c>
      <c r="AR17" s="90">
        <f>Y23-AQ17</f>
        <v>0.11403713728336701</v>
      </c>
      <c r="AS17" s="88"/>
    </row>
    <row r="18" spans="1:45" x14ac:dyDescent="0.3">
      <c r="A18" s="2">
        <v>46007</v>
      </c>
      <c r="B18" s="3">
        <v>274.61</v>
      </c>
      <c r="C18" s="3">
        <v>177.72</v>
      </c>
      <c r="D18" s="3">
        <v>489.88</v>
      </c>
      <c r="E18" s="3">
        <v>45.02</v>
      </c>
      <c r="F18" s="3">
        <v>36.799999999999997</v>
      </c>
      <c r="G18" s="4">
        <v>6800.26</v>
      </c>
      <c r="I18" s="3">
        <f t="shared" si="2"/>
        <v>1.8224235981354902E-3</v>
      </c>
      <c r="J18" s="3">
        <f t="shared" si="0"/>
        <v>8.0789117700556697E-3</v>
      </c>
      <c r="K18" s="3">
        <f t="shared" si="0"/>
        <v>3.0193240410874244E-2</v>
      </c>
      <c r="L18" s="3">
        <f t="shared" si="0"/>
        <v>-4.0697597622908671E-2</v>
      </c>
      <c r="M18" s="3">
        <f t="shared" si="0"/>
        <v>-1.0273137118412786E-2</v>
      </c>
      <c r="N18" s="3">
        <f t="shared" si="0"/>
        <v>-2.3867639262764775E-3</v>
      </c>
      <c r="P18" s="97" t="s">
        <v>13</v>
      </c>
      <c r="Q18" s="97"/>
      <c r="R18" s="97"/>
      <c r="S18" s="97"/>
      <c r="T18" s="97"/>
      <c r="U18" s="97"/>
      <c r="V18" s="97"/>
      <c r="X18" s="7" t="s">
        <v>30</v>
      </c>
      <c r="Y18" s="20">
        <v>0.17803671713068811</v>
      </c>
      <c r="Z18" s="20">
        <v>0.77836546868991452</v>
      </c>
      <c r="AA18" s="20">
        <v>0</v>
      </c>
      <c r="AB18" s="20">
        <v>4.3597838680561204E-2</v>
      </c>
      <c r="AC18" s="20">
        <v>0</v>
      </c>
      <c r="AD18" s="18">
        <f>SUM(Y18:AC18)</f>
        <v>1.0000000245011638</v>
      </c>
      <c r="AJ18" s="54" t="s">
        <v>43</v>
      </c>
      <c r="AK18" s="57"/>
      <c r="AL18" s="52"/>
      <c r="AM18" s="53">
        <f>SUMPRODUCT(AK6:AO6,Y19:AC19)</f>
        <v>1.7830004378610966</v>
      </c>
      <c r="AN18" s="36">
        <f>($AP$4-$AH$2)*AM18+$AH$2</f>
        <v>0.31233286851843473</v>
      </c>
      <c r="AO18" s="101">
        <f>AB24-AN18</f>
        <v>0.30376848127462491</v>
      </c>
      <c r="AP18" s="102"/>
      <c r="AQ18" s="58">
        <f t="shared" si="8"/>
        <v>0.27300242494705607</v>
      </c>
      <c r="AR18" s="90">
        <f>AB23-AQ18</f>
        <v>8.6830574589729259E-2</v>
      </c>
      <c r="AS18" s="88"/>
    </row>
    <row r="19" spans="1:45" x14ac:dyDescent="0.3">
      <c r="A19" s="2">
        <v>46006</v>
      </c>
      <c r="B19" s="3">
        <v>274.11</v>
      </c>
      <c r="C19" s="3">
        <v>176.29</v>
      </c>
      <c r="D19" s="3">
        <v>475.31</v>
      </c>
      <c r="E19" s="3">
        <v>46.89</v>
      </c>
      <c r="F19" s="3">
        <v>37.18</v>
      </c>
      <c r="G19" s="4">
        <v>6816.51</v>
      </c>
      <c r="I19" s="3">
        <f t="shared" si="2"/>
        <v>-1.509831537680152E-2</v>
      </c>
      <c r="J19" s="3">
        <f t="shared" si="2"/>
        <v>7.2301131899667921E-3</v>
      </c>
      <c r="K19" s="3">
        <f t="shared" si="2"/>
        <v>3.5004162448596721E-2</v>
      </c>
      <c r="L19" s="3">
        <f t="shared" si="2"/>
        <v>6.4000002184529353E-4</v>
      </c>
      <c r="M19" s="3">
        <f t="shared" si="2"/>
        <v>-5.63230669572442E-3</v>
      </c>
      <c r="N19" s="3">
        <f t="shared" ref="N19:N82" si="9">LN(G19/G20)</f>
        <v>-1.5977816227138871E-3</v>
      </c>
      <c r="P19" s="10"/>
      <c r="Q19" s="10" t="s">
        <v>3</v>
      </c>
      <c r="R19" s="10" t="s">
        <v>4</v>
      </c>
      <c r="S19" s="10" t="s">
        <v>5</v>
      </c>
      <c r="T19" s="10" t="s">
        <v>27</v>
      </c>
      <c r="U19" s="10" t="s">
        <v>28</v>
      </c>
      <c r="V19" s="10" t="s">
        <v>6</v>
      </c>
      <c r="X19" s="7" t="s">
        <v>29</v>
      </c>
      <c r="Y19" s="9">
        <v>0.24868256750812603</v>
      </c>
      <c r="Z19" s="9">
        <v>0.65464298774204677</v>
      </c>
      <c r="AA19" s="9">
        <v>1.8136551065106969E-3</v>
      </c>
      <c r="AB19" s="9">
        <v>9.4860771569618169E-2</v>
      </c>
      <c r="AC19" s="9">
        <v>0</v>
      </c>
      <c r="AD19" s="34">
        <f>SUM(Y19:AC19)</f>
        <v>0.99999998192630157</v>
      </c>
      <c r="AJ19" s="56" t="s">
        <v>32</v>
      </c>
      <c r="AK19" s="49"/>
      <c r="AL19" s="50"/>
      <c r="AM19" s="53">
        <f>SUMPRODUCT(AK6:AO6,Y31:AC31)</f>
        <v>1.4663667817229917</v>
      </c>
      <c r="AN19" s="36">
        <f>($AP$4-$AH$2)*AM19+$AH$2</f>
        <v>0.26404174275381936</v>
      </c>
      <c r="AO19" s="101">
        <f>Y36-AN19</f>
        <v>7.3920461045525909E-2</v>
      </c>
      <c r="AP19" s="102"/>
      <c r="AQ19" s="58">
        <f t="shared" si="8"/>
        <v>0.22452136228997044</v>
      </c>
      <c r="AR19" s="90">
        <f>Y35-AQ19</f>
        <v>2.868278921872458E-2</v>
      </c>
      <c r="AS19" s="88"/>
    </row>
    <row r="20" spans="1:45" x14ac:dyDescent="0.3">
      <c r="A20" s="2">
        <v>46003</v>
      </c>
      <c r="B20" s="3">
        <v>278.27999999999997</v>
      </c>
      <c r="C20" s="3">
        <v>175.02</v>
      </c>
      <c r="D20" s="3">
        <v>458.96</v>
      </c>
      <c r="E20" s="3">
        <v>46.86</v>
      </c>
      <c r="F20" s="3">
        <v>37.39</v>
      </c>
      <c r="G20" s="4">
        <v>6827.41</v>
      </c>
      <c r="I20" s="3">
        <f t="shared" si="2"/>
        <v>8.9877951799999299E-4</v>
      </c>
      <c r="J20" s="3">
        <f t="shared" si="2"/>
        <v>-3.3209963023319987E-2</v>
      </c>
      <c r="K20" s="3">
        <f t="shared" si="2"/>
        <v>2.665058097511722E-2</v>
      </c>
      <c r="L20" s="3">
        <f t="shared" si="2"/>
        <v>-1.272281792796796E-2</v>
      </c>
      <c r="M20" s="3">
        <f t="shared" si="2"/>
        <v>6.4395178252541988E-3</v>
      </c>
      <c r="N20" s="3">
        <f t="shared" si="9"/>
        <v>-1.0720936344245894E-2</v>
      </c>
      <c r="P20" s="6" t="s">
        <v>3</v>
      </c>
      <c r="Q20" s="8" cm="1">
        <f t="array" ref="Q20:V25">Q11:V16*252</f>
        <v>6.4270703512303823E-2</v>
      </c>
      <c r="R20" s="8">
        <v>4.6062888640379815E-2</v>
      </c>
      <c r="S20" s="8">
        <v>6.5744437251545093E-2</v>
      </c>
      <c r="T20" s="8">
        <v>1.9695494638854245E-2</v>
      </c>
      <c r="U20" s="8">
        <v>1.7611395458525067E-2</v>
      </c>
      <c r="V20" s="8">
        <v>2.5817672307124524E-2</v>
      </c>
      <c r="X20" s="17"/>
      <c r="Y20" s="17"/>
      <c r="Z20" s="17"/>
      <c r="AA20" s="17"/>
      <c r="AB20" s="17"/>
      <c r="AC20" s="17"/>
      <c r="AD20" s="17"/>
    </row>
    <row r="21" spans="1:45" x14ac:dyDescent="0.3">
      <c r="A21" s="2">
        <v>46002</v>
      </c>
      <c r="B21" s="3">
        <v>278.02999999999997</v>
      </c>
      <c r="C21" s="3">
        <v>180.93</v>
      </c>
      <c r="D21" s="3">
        <v>446.89</v>
      </c>
      <c r="E21" s="3">
        <v>47.46</v>
      </c>
      <c r="F21" s="3">
        <v>37.15</v>
      </c>
      <c r="G21" s="4">
        <v>6901</v>
      </c>
      <c r="I21" s="3">
        <f t="shared" si="2"/>
        <v>-2.6939187642996787E-3</v>
      </c>
      <c r="J21" s="3">
        <f t="shared" si="2"/>
        <v>-1.5629173941733798E-2</v>
      </c>
      <c r="K21" s="3">
        <f t="shared" si="2"/>
        <v>-1.0152145434989745E-2</v>
      </c>
      <c r="L21" s="3">
        <f t="shared" si="2"/>
        <v>-1.2146746204165268E-2</v>
      </c>
      <c r="M21" s="5">
        <f t="shared" si="2"/>
        <v>1.6163796622685139E-3</v>
      </c>
      <c r="N21" s="3">
        <f t="shared" si="9"/>
        <v>2.0772175085341247E-3</v>
      </c>
      <c r="P21" s="6" t="s">
        <v>4</v>
      </c>
      <c r="Q21" s="8">
        <v>4.6062888640379815E-2</v>
      </c>
      <c r="R21" s="8">
        <v>0.24387908221258925</v>
      </c>
      <c r="S21" s="8">
        <v>0.11036279960755432</v>
      </c>
      <c r="T21" s="8">
        <v>3.1356533567585401E-2</v>
      </c>
      <c r="U21" s="8">
        <v>1.6673098469640962E-2</v>
      </c>
      <c r="V21" s="8">
        <v>4.7619059925014723E-2</v>
      </c>
      <c r="X21" s="7" t="s">
        <v>37</v>
      </c>
      <c r="Y21" s="17"/>
      <c r="Z21" s="17"/>
      <c r="AA21" s="100" t="s">
        <v>36</v>
      </c>
      <c r="AB21" s="100"/>
      <c r="AC21" s="17"/>
      <c r="AD21" s="17"/>
    </row>
    <row r="22" spans="1:45" x14ac:dyDescent="0.3">
      <c r="A22" s="2">
        <v>46001</v>
      </c>
      <c r="B22" s="3">
        <v>278.77999999999997</v>
      </c>
      <c r="C22" s="3">
        <v>183.78</v>
      </c>
      <c r="D22" s="3">
        <v>451.45</v>
      </c>
      <c r="E22" s="3">
        <v>48.04</v>
      </c>
      <c r="F22" s="3">
        <v>37.090000000000003</v>
      </c>
      <c r="G22" s="4">
        <v>6886.68</v>
      </c>
      <c r="I22" s="3">
        <f t="shared" si="2"/>
        <v>5.7558256610836991E-3</v>
      </c>
      <c r="J22" s="3">
        <f t="shared" si="2"/>
        <v>-6.4542596937187469E-3</v>
      </c>
      <c r="K22" s="3">
        <f t="shared" si="2"/>
        <v>1.4008393067343273E-2</v>
      </c>
      <c r="L22" s="3">
        <f t="shared" si="2"/>
        <v>7.3122649016497607E-3</v>
      </c>
      <c r="M22" s="3">
        <f t="shared" si="2"/>
        <v>1.9603132502601903E-2</v>
      </c>
      <c r="N22" s="3">
        <f t="shared" si="9"/>
        <v>6.7268208715260186E-3</v>
      </c>
      <c r="P22" s="6" t="s">
        <v>5</v>
      </c>
      <c r="Q22" s="8">
        <v>6.5744437251545093E-2</v>
      </c>
      <c r="R22" s="8">
        <v>0.11036279960755432</v>
      </c>
      <c r="S22" s="8">
        <v>0.35247395312492813</v>
      </c>
      <c r="T22" s="8">
        <v>4.7023566594397624E-2</v>
      </c>
      <c r="U22" s="8">
        <v>2.4466286809052665E-2</v>
      </c>
      <c r="V22" s="8">
        <v>5.1530504126335155E-2</v>
      </c>
      <c r="X22" s="7" t="s">
        <v>17</v>
      </c>
      <c r="Y22" s="19" cm="1">
        <f t="array" ref="Y22">MMULT(Y18:AC18,MMULT(Q20:U24,TRANSPOSE(Y18:AC18)))</f>
        <v>0.16516752988388633</v>
      </c>
      <c r="Z22" s="17"/>
      <c r="AA22" s="7" t="s">
        <v>17</v>
      </c>
      <c r="AB22" s="7" cm="1">
        <f t="array" ref="AB22">MMULT(Y19:AC19,MMULT(Q20:U24,TRANSPOSE(Y19:AC19)))</f>
        <v>0.12947978755564013</v>
      </c>
      <c r="AC22" s="17"/>
      <c r="AD22" s="17"/>
    </row>
    <row r="23" spans="1:45" x14ac:dyDescent="0.3">
      <c r="A23" s="2">
        <v>46000</v>
      </c>
      <c r="B23" s="3">
        <v>277.18</v>
      </c>
      <c r="C23" s="3">
        <v>184.97</v>
      </c>
      <c r="D23" s="3">
        <v>445.17</v>
      </c>
      <c r="E23" s="3">
        <v>47.69</v>
      </c>
      <c r="F23" s="3">
        <v>36.369999999999997</v>
      </c>
      <c r="G23" s="4">
        <v>6840.51</v>
      </c>
      <c r="I23" s="3">
        <f t="shared" si="2"/>
        <v>-2.5582372933893359E-3</v>
      </c>
      <c r="J23" s="3">
        <f t="shared" si="2"/>
        <v>-3.1307377401490854E-3</v>
      </c>
      <c r="K23" s="3">
        <f t="shared" si="2"/>
        <v>1.2636506097017067E-2</v>
      </c>
      <c r="L23" s="3">
        <f t="shared" si="2"/>
        <v>6.310496330635889E-3</v>
      </c>
      <c r="M23" s="3">
        <f t="shared" si="2"/>
        <v>5.5005501936910054E-4</v>
      </c>
      <c r="N23" s="3">
        <f t="shared" si="9"/>
        <v>-8.7674313098681116E-4</v>
      </c>
      <c r="P23" s="6" t="s">
        <v>27</v>
      </c>
      <c r="Q23" s="8">
        <v>1.9695494638854245E-2</v>
      </c>
      <c r="R23" s="8">
        <v>3.1356533567585401E-2</v>
      </c>
      <c r="S23" s="8">
        <v>4.7023566594397624E-2</v>
      </c>
      <c r="T23" s="8">
        <v>9.2075443873729637E-2</v>
      </c>
      <c r="U23" s="8">
        <v>2.2400846014388152E-2</v>
      </c>
      <c r="V23" s="8">
        <v>2.2423398896251993E-2</v>
      </c>
      <c r="X23" s="7" t="s">
        <v>18</v>
      </c>
      <c r="Y23" s="9">
        <f>SQRT(Y22)</f>
        <v>0.40640808294605352</v>
      </c>
      <c r="Z23" s="17"/>
      <c r="AA23" s="7" t="s">
        <v>18</v>
      </c>
      <c r="AB23" s="9">
        <f>SQRT(AB22)</f>
        <v>0.35983299953678533</v>
      </c>
      <c r="AC23" s="17"/>
      <c r="AD23" s="17"/>
    </row>
    <row r="24" spans="1:45" x14ac:dyDescent="0.3">
      <c r="A24" s="2">
        <v>45999</v>
      </c>
      <c r="B24" s="3">
        <v>277.89</v>
      </c>
      <c r="C24" s="3">
        <v>185.55</v>
      </c>
      <c r="D24" s="3">
        <v>439.58</v>
      </c>
      <c r="E24" s="3">
        <v>47.39</v>
      </c>
      <c r="F24" s="3">
        <v>36.35</v>
      </c>
      <c r="G24" s="4">
        <v>6846.51</v>
      </c>
      <c r="I24" s="3">
        <f t="shared" si="2"/>
        <v>-3.1975883676944017E-3</v>
      </c>
      <c r="J24" s="3">
        <f t="shared" si="2"/>
        <v>1.7067486807783531E-2</v>
      </c>
      <c r="K24" s="3">
        <f t="shared" si="2"/>
        <v>-3.4477693361822714E-2</v>
      </c>
      <c r="L24" s="3">
        <f t="shared" si="2"/>
        <v>-3.7482387518765571E-2</v>
      </c>
      <c r="M24" s="3">
        <f t="shared" si="2"/>
        <v>1.3764627087234573E-3</v>
      </c>
      <c r="N24" s="3">
        <f t="shared" si="9"/>
        <v>-3.4832953129334491E-3</v>
      </c>
      <c r="P24" s="6" t="s">
        <v>28</v>
      </c>
      <c r="Q24" s="8">
        <v>1.7611395458525067E-2</v>
      </c>
      <c r="R24" s="8">
        <v>1.6673098469640962E-2</v>
      </c>
      <c r="S24" s="8">
        <v>2.4466286809052665E-2</v>
      </c>
      <c r="T24" s="8">
        <v>2.2400846014388152E-2</v>
      </c>
      <c r="U24" s="8">
        <v>4.7314681703556849E-2</v>
      </c>
      <c r="V24" s="8">
        <v>1.6329414966500137E-2</v>
      </c>
      <c r="X24" s="7" t="s">
        <v>19</v>
      </c>
      <c r="Y24" s="9">
        <f>SUMPRODUCT(Y18:AC18,Q4:U4)</f>
        <v>0.69294828146646914</v>
      </c>
      <c r="Z24" s="17"/>
      <c r="AA24" s="7" t="s">
        <v>19</v>
      </c>
      <c r="AB24" s="9">
        <f>SUMPRODUCT(Q4:U4,Y19:AC19)</f>
        <v>0.61610134979305964</v>
      </c>
      <c r="AC24" s="17"/>
      <c r="AD24" s="17"/>
      <c r="AM24" s="88"/>
    </row>
    <row r="25" spans="1:45" x14ac:dyDescent="0.3">
      <c r="A25" s="2">
        <v>45996</v>
      </c>
      <c r="B25" s="3">
        <v>278.77999999999997</v>
      </c>
      <c r="C25" s="3">
        <v>182.41</v>
      </c>
      <c r="D25" s="3">
        <v>455</v>
      </c>
      <c r="E25" s="3">
        <v>49.2</v>
      </c>
      <c r="F25" s="3">
        <v>36.299999999999997</v>
      </c>
      <c r="G25" s="4">
        <v>6870.4</v>
      </c>
      <c r="I25" s="3">
        <f t="shared" si="2"/>
        <v>-6.863543066096575E-3</v>
      </c>
      <c r="J25" s="3">
        <f t="shared" si="2"/>
        <v>-5.3036019229315322E-3</v>
      </c>
      <c r="K25" s="3">
        <f t="shared" si="2"/>
        <v>1.0335009110966468E-3</v>
      </c>
      <c r="L25" s="3">
        <f t="shared" si="2"/>
        <v>-2.8255561727724091E-2</v>
      </c>
      <c r="M25" s="3">
        <f t="shared" si="2"/>
        <v>3.3112613036560051E-3</v>
      </c>
      <c r="N25" s="3">
        <f t="shared" si="9"/>
        <v>1.9348001886360358E-3</v>
      </c>
      <c r="P25" s="6" t="s">
        <v>6</v>
      </c>
      <c r="Q25" s="8">
        <v>2.5817672307124524E-2</v>
      </c>
      <c r="R25" s="8">
        <v>4.7619059925014723E-2</v>
      </c>
      <c r="S25" s="8">
        <v>5.1530504126335155E-2</v>
      </c>
      <c r="T25" s="8">
        <v>2.2423398896251993E-2</v>
      </c>
      <c r="U25" s="8">
        <v>1.6329414966500137E-2</v>
      </c>
      <c r="V25" s="8">
        <v>2.2330027147621865E-2</v>
      </c>
      <c r="X25" s="7" t="s">
        <v>20</v>
      </c>
      <c r="Y25" s="20">
        <f>Y24-AH2</f>
        <v>0.65254828146646915</v>
      </c>
      <c r="Z25" s="17"/>
      <c r="AA25" s="7" t="s">
        <v>20</v>
      </c>
      <c r="AB25" s="20">
        <f>AB24-AH2</f>
        <v>0.57570134979305965</v>
      </c>
      <c r="AC25" s="17"/>
      <c r="AD25" s="17"/>
      <c r="AM25" s="88"/>
    </row>
    <row r="26" spans="1:45" x14ac:dyDescent="0.3">
      <c r="A26" s="2">
        <v>45995</v>
      </c>
      <c r="B26" s="3">
        <v>280.7</v>
      </c>
      <c r="C26" s="3">
        <v>183.38</v>
      </c>
      <c r="D26" s="3">
        <v>454.53</v>
      </c>
      <c r="E26" s="3">
        <v>50.61</v>
      </c>
      <c r="F26" s="3">
        <v>36.18</v>
      </c>
      <c r="G26" s="4">
        <v>6857.12</v>
      </c>
      <c r="I26" s="3">
        <f t="shared" si="2"/>
        <v>-1.221578437529367E-2</v>
      </c>
      <c r="J26" s="3">
        <f t="shared" si="2"/>
        <v>2.0884027591109609E-2</v>
      </c>
      <c r="K26" s="3">
        <f t="shared" si="2"/>
        <v>1.7287148134442987E-2</v>
      </c>
      <c r="L26" s="3">
        <f t="shared" si="2"/>
        <v>2.3738883551622045E-3</v>
      </c>
      <c r="M26" s="3">
        <f t="shared" si="2"/>
        <v>6.3773958000933832E-3</v>
      </c>
      <c r="N26" s="3">
        <f t="shared" si="9"/>
        <v>1.0797529874062967E-3</v>
      </c>
      <c r="X26" s="7" t="s">
        <v>21</v>
      </c>
      <c r="Y26" s="39">
        <f>Y25/Y23</f>
        <v>1.6056478914891272</v>
      </c>
      <c r="Z26" s="17"/>
      <c r="AA26" s="7" t="s">
        <v>21</v>
      </c>
      <c r="AB26" s="39">
        <f>AB25/AB23</f>
        <v>1.5999125998287056</v>
      </c>
      <c r="AC26" s="17"/>
      <c r="AD26" s="17"/>
      <c r="AM26" s="88"/>
    </row>
    <row r="27" spans="1:45" x14ac:dyDescent="0.3">
      <c r="A27" s="2">
        <v>45994</v>
      </c>
      <c r="B27" s="3">
        <v>284.14999999999998</v>
      </c>
      <c r="C27" s="3">
        <v>179.59</v>
      </c>
      <c r="D27" s="3">
        <v>446.74</v>
      </c>
      <c r="E27" s="3">
        <v>50.49</v>
      </c>
      <c r="F27" s="3">
        <v>35.950000000000003</v>
      </c>
      <c r="G27" s="4">
        <v>6849.72</v>
      </c>
      <c r="I27" s="3">
        <f t="shared" si="2"/>
        <v>-7.1536581678047408E-3</v>
      </c>
      <c r="J27" s="3">
        <f t="shared" si="2"/>
        <v>-1.0358768710837891E-2</v>
      </c>
      <c r="K27" s="3">
        <f t="shared" si="2"/>
        <v>3.9960566846484101E-2</v>
      </c>
      <c r="L27" s="3">
        <f t="shared" si="2"/>
        <v>2.0206749346537194E-2</v>
      </c>
      <c r="M27" s="3">
        <f t="shared" si="2"/>
        <v>2.7638533091771358E-2</v>
      </c>
      <c r="N27" s="3">
        <f t="shared" si="9"/>
        <v>2.9753463150951035E-3</v>
      </c>
      <c r="AM27" s="88"/>
    </row>
    <row r="28" spans="1:45" x14ac:dyDescent="0.3">
      <c r="A28" s="2">
        <v>45993</v>
      </c>
      <c r="B28" s="3">
        <v>286.19</v>
      </c>
      <c r="C28" s="3">
        <v>181.46</v>
      </c>
      <c r="D28" s="3">
        <v>429.24</v>
      </c>
      <c r="E28" s="3">
        <v>49.48</v>
      </c>
      <c r="F28" s="3">
        <v>34.97</v>
      </c>
      <c r="G28" s="4">
        <v>6829.37</v>
      </c>
      <c r="I28" s="3">
        <f t="shared" si="2"/>
        <v>1.0855733793081178E-2</v>
      </c>
      <c r="J28" s="3">
        <f t="shared" si="2"/>
        <v>8.5229360904227405E-3</v>
      </c>
      <c r="K28" s="3">
        <f t="shared" si="2"/>
        <v>-2.0945340339091861E-3</v>
      </c>
      <c r="L28" s="3">
        <f t="shared" si="2"/>
        <v>-1.3649348800378045E-2</v>
      </c>
      <c r="M28" s="3">
        <f t="shared" si="2"/>
        <v>3.4374138687515605E-3</v>
      </c>
      <c r="N28" s="3">
        <f t="shared" si="9"/>
        <v>2.4541868350872E-3</v>
      </c>
      <c r="P28" s="97" t="s">
        <v>14</v>
      </c>
      <c r="Q28" s="97"/>
      <c r="R28" s="97"/>
      <c r="S28" s="97"/>
      <c r="T28" s="97"/>
      <c r="U28" s="97"/>
      <c r="X28" s="96" t="s">
        <v>26</v>
      </c>
      <c r="Y28" s="96"/>
      <c r="Z28" s="96"/>
      <c r="AA28" s="96"/>
      <c r="AB28" s="96"/>
      <c r="AC28" s="96"/>
      <c r="AD28" s="96"/>
      <c r="AM28" s="88"/>
    </row>
    <row r="29" spans="1:45" x14ac:dyDescent="0.3">
      <c r="A29" s="2">
        <v>45992</v>
      </c>
      <c r="B29" s="3">
        <v>283.10000000000002</v>
      </c>
      <c r="C29" s="3">
        <v>179.92</v>
      </c>
      <c r="D29" s="3">
        <v>430.14</v>
      </c>
      <c r="E29" s="3">
        <v>50.16</v>
      </c>
      <c r="F29" s="3">
        <v>34.85</v>
      </c>
      <c r="G29" s="4">
        <v>6812.63</v>
      </c>
      <c r="I29" s="3">
        <f t="shared" si="2"/>
        <v>1.512618928229114E-2</v>
      </c>
      <c r="J29" s="3">
        <f t="shared" si="2"/>
        <v>1.636257507723099E-2</v>
      </c>
      <c r="K29" s="3">
        <f t="shared" si="2"/>
        <v>-6.9742302221736553E-5</v>
      </c>
      <c r="L29" s="3">
        <f t="shared" si="2"/>
        <v>-7.9713037301838859E-4</v>
      </c>
      <c r="M29" s="3">
        <f t="shared" si="2"/>
        <v>-1.4528100562909744E-2</v>
      </c>
      <c r="N29" s="3">
        <f t="shared" si="9"/>
        <v>-5.337554357799105E-3</v>
      </c>
      <c r="P29" s="10"/>
      <c r="Q29" s="10" t="s">
        <v>3</v>
      </c>
      <c r="R29" s="10" t="s">
        <v>4</v>
      </c>
      <c r="S29" s="10" t="s">
        <v>5</v>
      </c>
      <c r="T29" s="10" t="s">
        <v>27</v>
      </c>
      <c r="U29" s="10" t="s">
        <v>28</v>
      </c>
      <c r="V29" s="31"/>
      <c r="X29" s="24"/>
      <c r="Y29" s="24"/>
      <c r="Z29" s="24"/>
      <c r="AA29" s="24"/>
      <c r="AB29" s="24"/>
      <c r="AC29" s="24"/>
      <c r="AD29" s="24"/>
    </row>
    <row r="30" spans="1:45" x14ac:dyDescent="0.3">
      <c r="A30" s="2">
        <v>45989</v>
      </c>
      <c r="B30" s="3">
        <v>278.85000000000002</v>
      </c>
      <c r="C30" s="3">
        <v>177</v>
      </c>
      <c r="D30" s="3">
        <v>430.17</v>
      </c>
      <c r="E30" s="3">
        <v>50.2</v>
      </c>
      <c r="F30" s="3">
        <v>35.36</v>
      </c>
      <c r="G30" s="4">
        <v>6849.09</v>
      </c>
      <c r="I30" s="3">
        <f t="shared" si="2"/>
        <v>4.6729056993924231E-3</v>
      </c>
      <c r="J30" s="3">
        <f t="shared" si="2"/>
        <v>-1.8250520554434511E-2</v>
      </c>
      <c r="K30" s="3">
        <f t="shared" si="2"/>
        <v>8.3805567821813014E-3</v>
      </c>
      <c r="L30" s="3">
        <f t="shared" si="2"/>
        <v>1.3436480097537161E-2</v>
      </c>
      <c r="M30" s="3">
        <f t="shared" si="2"/>
        <v>1.6982738301916103E-3</v>
      </c>
      <c r="N30" s="3">
        <f t="shared" si="9"/>
        <v>5.3404900859037579E-3</v>
      </c>
      <c r="P30" s="6" t="s">
        <v>3</v>
      </c>
      <c r="Q30" s="6">
        <v>1</v>
      </c>
      <c r="R30" s="6">
        <v>0.36792336326917152</v>
      </c>
      <c r="S30" s="6">
        <v>0.43680637771532604</v>
      </c>
      <c r="T30" s="6">
        <v>0.25602858431361869</v>
      </c>
      <c r="U30" s="6">
        <v>0.31936644266700298</v>
      </c>
      <c r="X30" s="25"/>
      <c r="Y30" s="25" t="s">
        <v>3</v>
      </c>
      <c r="Z30" s="25" t="s">
        <v>4</v>
      </c>
      <c r="AA30" s="25" t="s">
        <v>5</v>
      </c>
      <c r="AB30" s="25" t="s">
        <v>27</v>
      </c>
      <c r="AC30" s="25" t="s">
        <v>28</v>
      </c>
      <c r="AD30" s="24"/>
    </row>
    <row r="31" spans="1:45" x14ac:dyDescent="0.3">
      <c r="A31" s="2">
        <v>45987</v>
      </c>
      <c r="B31" s="3">
        <v>277.55</v>
      </c>
      <c r="C31" s="3">
        <v>180.26</v>
      </c>
      <c r="D31" s="3">
        <v>426.58</v>
      </c>
      <c r="E31" s="3">
        <v>49.53</v>
      </c>
      <c r="F31" s="3">
        <v>35.299999999999997</v>
      </c>
      <c r="G31" s="4">
        <v>6812.61</v>
      </c>
      <c r="I31" s="3">
        <f t="shared" si="2"/>
        <v>2.0919000631496021E-3</v>
      </c>
      <c r="J31" s="3">
        <f t="shared" si="2"/>
        <v>1.3628450435270884E-2</v>
      </c>
      <c r="K31" s="3">
        <f t="shared" si="2"/>
        <v>1.6974804145056668E-2</v>
      </c>
      <c r="L31" s="3">
        <f t="shared" si="2"/>
        <v>2.0210192812785241E-3</v>
      </c>
      <c r="M31" s="3">
        <f t="shared" si="2"/>
        <v>1.1396134730869582E-2</v>
      </c>
      <c r="N31" s="3">
        <f t="shared" si="9"/>
        <v>6.8829721842695365E-3</v>
      </c>
      <c r="P31" s="6" t="s">
        <v>4</v>
      </c>
      <c r="Q31" s="6">
        <v>0.36792336326917152</v>
      </c>
      <c r="R31" s="6">
        <v>1</v>
      </c>
      <c r="S31" s="6">
        <v>0.37641933071997818</v>
      </c>
      <c r="T31" s="6">
        <v>0.20925163462684404</v>
      </c>
      <c r="U31" s="6">
        <v>0.15521406664150075</v>
      </c>
      <c r="X31" s="25" t="s">
        <v>16</v>
      </c>
      <c r="Y31" s="26">
        <v>0.2</v>
      </c>
      <c r="Z31" s="26">
        <v>0.2</v>
      </c>
      <c r="AA31" s="26">
        <v>0.2</v>
      </c>
      <c r="AB31" s="26">
        <v>0.2</v>
      </c>
      <c r="AC31" s="26">
        <v>0.2</v>
      </c>
      <c r="AD31" s="26">
        <f>SUM(Y31:AC31)</f>
        <v>1</v>
      </c>
    </row>
    <row r="32" spans="1:45" x14ac:dyDescent="0.3">
      <c r="A32" s="2">
        <v>45986</v>
      </c>
      <c r="B32" s="3">
        <v>276.97000000000003</v>
      </c>
      <c r="C32" s="3">
        <v>177.82</v>
      </c>
      <c r="D32" s="3">
        <v>419.4</v>
      </c>
      <c r="E32" s="3">
        <v>49.43</v>
      </c>
      <c r="F32" s="3">
        <v>34.9</v>
      </c>
      <c r="G32" s="4">
        <v>6765.88</v>
      </c>
      <c r="I32" s="3">
        <f t="shared" si="2"/>
        <v>3.7982284444352779E-3</v>
      </c>
      <c r="J32" s="3">
        <f t="shared" si="2"/>
        <v>-2.6252305408653101E-2</v>
      </c>
      <c r="K32" s="3">
        <f t="shared" si="2"/>
        <v>3.8701402853091589E-3</v>
      </c>
      <c r="L32" s="3">
        <f t="shared" si="2"/>
        <v>1.4171477217356525E-3</v>
      </c>
      <c r="M32" s="3">
        <f t="shared" si="2"/>
        <v>1.4721004764206689E-2</v>
      </c>
      <c r="N32" s="3">
        <f t="shared" si="9"/>
        <v>9.0209207985121487E-3</v>
      </c>
      <c r="P32" s="6" t="s">
        <v>5</v>
      </c>
      <c r="Q32" s="6">
        <v>0.43680637771532604</v>
      </c>
      <c r="R32" s="6">
        <v>0.37641933071997818</v>
      </c>
      <c r="S32" s="6">
        <v>1</v>
      </c>
      <c r="T32" s="6">
        <v>0.26102381974149802</v>
      </c>
      <c r="U32" s="6">
        <v>0.18945522465123846</v>
      </c>
      <c r="X32" s="24"/>
      <c r="Y32" s="24"/>
      <c r="Z32" s="24"/>
      <c r="AA32" s="24"/>
      <c r="AB32" s="24"/>
      <c r="AC32" s="24"/>
      <c r="AD32" s="24"/>
    </row>
    <row r="33" spans="1:31" x14ac:dyDescent="0.3">
      <c r="A33" s="2">
        <v>45985</v>
      </c>
      <c r="B33" s="3">
        <v>275.92</v>
      </c>
      <c r="C33" s="3">
        <v>182.55</v>
      </c>
      <c r="D33" s="3">
        <v>417.78</v>
      </c>
      <c r="E33" s="3">
        <v>49.36</v>
      </c>
      <c r="F33" s="3">
        <v>34.39</v>
      </c>
      <c r="G33" s="4">
        <v>6705.12</v>
      </c>
      <c r="I33" s="3">
        <f t="shared" si="2"/>
        <v>1.6185662345448357E-2</v>
      </c>
      <c r="J33" s="3">
        <f t="shared" si="2"/>
        <v>2.0308918134911681E-2</v>
      </c>
      <c r="K33" s="3">
        <f t="shared" si="2"/>
        <v>6.6017265656139593E-2</v>
      </c>
      <c r="L33" s="3">
        <f t="shared" si="2"/>
        <v>9.772064733792522E-3</v>
      </c>
      <c r="M33" s="3">
        <f t="shared" si="2"/>
        <v>3.203730714595697E-3</v>
      </c>
      <c r="N33" s="3">
        <f t="shared" si="9"/>
        <v>1.5348836917048726E-2</v>
      </c>
      <c r="P33" s="6" t="s">
        <v>27</v>
      </c>
      <c r="Q33" s="6">
        <v>0.25602858431361869</v>
      </c>
      <c r="R33" s="6">
        <v>0.20925163462684404</v>
      </c>
      <c r="S33" s="6">
        <v>0.26102381974149802</v>
      </c>
      <c r="T33" s="6">
        <v>1</v>
      </c>
      <c r="U33" s="6">
        <v>0.33938648872021138</v>
      </c>
      <c r="X33" s="24"/>
      <c r="Y33" s="24"/>
      <c r="Z33" s="24"/>
      <c r="AA33" s="24"/>
      <c r="AB33" s="24"/>
      <c r="AC33" s="24"/>
      <c r="AD33" s="24"/>
    </row>
    <row r="34" spans="1:31" x14ac:dyDescent="0.3">
      <c r="A34" s="2">
        <v>45982</v>
      </c>
      <c r="B34" s="3">
        <v>271.49</v>
      </c>
      <c r="C34" s="3">
        <v>178.88</v>
      </c>
      <c r="D34" s="3">
        <v>391.09</v>
      </c>
      <c r="E34" s="3">
        <v>48.88</v>
      </c>
      <c r="F34" s="3">
        <v>34.28</v>
      </c>
      <c r="G34" s="4">
        <v>6602.99</v>
      </c>
      <c r="I34" s="3">
        <f t="shared" si="2"/>
        <v>1.9489589259502289E-2</v>
      </c>
      <c r="J34" s="3">
        <f t="shared" si="2"/>
        <v>-9.7909104346175276E-3</v>
      </c>
      <c r="K34" s="3">
        <f t="shared" si="2"/>
        <v>-1.0530161397427303E-2</v>
      </c>
      <c r="L34" s="3">
        <f t="shared" si="2"/>
        <v>1.6710032957470554E-2</v>
      </c>
      <c r="M34" s="3">
        <f t="shared" si="2"/>
        <v>1.7657904355453013E-2</v>
      </c>
      <c r="N34" s="3">
        <f t="shared" si="9"/>
        <v>9.775031702356704E-3</v>
      </c>
      <c r="P34" s="6" t="s">
        <v>28</v>
      </c>
      <c r="Q34" s="6">
        <v>0.31936644266700298</v>
      </c>
      <c r="R34" s="6">
        <v>0.15521406664150075</v>
      </c>
      <c r="S34" s="6">
        <v>0.18945522465123846</v>
      </c>
      <c r="T34" s="6">
        <v>0.33938648872021138</v>
      </c>
      <c r="U34" s="6">
        <v>1</v>
      </c>
      <c r="X34" s="25" t="s">
        <v>17</v>
      </c>
      <c r="Y34" s="27" cm="1">
        <f t="array" ref="Y34">MMULT(Y31:AC31,MMULT(Q20:U24,TRANSPOSE(Y31:AC31)))</f>
        <v>6.4112342341238193E-2</v>
      </c>
      <c r="Z34" s="24"/>
      <c r="AA34" s="24"/>
      <c r="AB34" s="24"/>
      <c r="AC34" s="24"/>
      <c r="AD34" s="24"/>
    </row>
    <row r="35" spans="1:31" x14ac:dyDescent="0.3">
      <c r="A35" s="2">
        <v>45981</v>
      </c>
      <c r="B35" s="3">
        <v>266.25</v>
      </c>
      <c r="C35" s="3">
        <v>180.64</v>
      </c>
      <c r="D35" s="3">
        <v>395.23</v>
      </c>
      <c r="E35" s="3">
        <v>48.07</v>
      </c>
      <c r="F35" s="3">
        <v>33.68</v>
      </c>
      <c r="G35" s="4">
        <v>6538.76</v>
      </c>
      <c r="I35" s="3">
        <f t="shared" si="2"/>
        <v>-8.6386356481446304E-3</v>
      </c>
      <c r="J35" s="3">
        <f t="shared" si="2"/>
        <v>-3.2032371538768305E-2</v>
      </c>
      <c r="K35" s="3">
        <f t="shared" si="2"/>
        <v>-2.1922251255757013E-2</v>
      </c>
      <c r="L35" s="3">
        <f t="shared" si="2"/>
        <v>-8.4930598551895987E-3</v>
      </c>
      <c r="M35" s="3">
        <f t="shared" si="2"/>
        <v>-8.2791720690206481E-3</v>
      </c>
      <c r="N35" s="3">
        <f t="shared" si="9"/>
        <v>-1.5689666748388537E-2</v>
      </c>
      <c r="X35" s="25" t="s">
        <v>18</v>
      </c>
      <c r="Y35" s="28">
        <f>SQRT(Y34)</f>
        <v>0.25320415150869502</v>
      </c>
      <c r="Z35" s="24"/>
      <c r="AA35" s="24"/>
      <c r="AB35" s="24"/>
      <c r="AC35" s="24"/>
      <c r="AD35" s="24"/>
    </row>
    <row r="36" spans="1:31" x14ac:dyDescent="0.3">
      <c r="A36" s="2">
        <v>45980</v>
      </c>
      <c r="B36" s="3">
        <v>268.56</v>
      </c>
      <c r="C36" s="3">
        <v>186.52</v>
      </c>
      <c r="D36" s="3">
        <v>403.99</v>
      </c>
      <c r="E36" s="3">
        <v>48.48</v>
      </c>
      <c r="F36" s="3">
        <v>33.96</v>
      </c>
      <c r="G36" s="4">
        <v>6642.16</v>
      </c>
      <c r="I36" s="3">
        <f t="shared" si="2"/>
        <v>4.1791105599363393E-3</v>
      </c>
      <c r="J36" s="3">
        <f t="shared" si="2"/>
        <v>2.8054465740846562E-2</v>
      </c>
      <c r="K36" s="3">
        <f t="shared" si="2"/>
        <v>6.8054507353294495E-3</v>
      </c>
      <c r="L36" s="3">
        <f t="shared" si="2"/>
        <v>8.7011114527359591E-3</v>
      </c>
      <c r="M36" s="3">
        <f t="shared" si="2"/>
        <v>-8.8300226487806081E-4</v>
      </c>
      <c r="N36" s="3">
        <f t="shared" si="9"/>
        <v>3.7467576494783256E-3</v>
      </c>
      <c r="X36" s="25" t="s">
        <v>19</v>
      </c>
      <c r="Y36" s="28">
        <f>SUMPRODUCT(Y31:AC31,Q4:U4)</f>
        <v>0.33796220379934527</v>
      </c>
      <c r="Z36" s="24"/>
      <c r="AA36" s="24"/>
      <c r="AB36" s="24"/>
      <c r="AC36" s="24"/>
      <c r="AD36" s="24"/>
    </row>
    <row r="37" spans="1:31" x14ac:dyDescent="0.3">
      <c r="A37" s="2">
        <v>45979</v>
      </c>
      <c r="B37" s="3">
        <v>267.44</v>
      </c>
      <c r="C37" s="3">
        <v>181.36</v>
      </c>
      <c r="D37" s="3">
        <v>401.25</v>
      </c>
      <c r="E37" s="3">
        <v>48.06</v>
      </c>
      <c r="F37" s="3">
        <v>33.99</v>
      </c>
      <c r="G37" s="4">
        <v>6617.32</v>
      </c>
      <c r="I37" s="3">
        <f t="shared" si="2"/>
        <v>-7.4780332807222467E-5</v>
      </c>
      <c r="J37" s="3">
        <f t="shared" si="2"/>
        <v>-2.848328221396982E-2</v>
      </c>
      <c r="K37" s="3">
        <f t="shared" si="2"/>
        <v>-1.8934863444587675E-2</v>
      </c>
      <c r="L37" s="3">
        <f t="shared" si="2"/>
        <v>3.7523496185503718E-3</v>
      </c>
      <c r="M37" s="3">
        <f t="shared" si="2"/>
        <v>-5.8823531107937916E-4</v>
      </c>
      <c r="N37" s="3">
        <f t="shared" si="9"/>
        <v>-8.290659863030455E-3</v>
      </c>
      <c r="X37" s="25" t="s">
        <v>20</v>
      </c>
      <c r="Y37" s="29">
        <f>Y36-AH2</f>
        <v>0.29756220379934528</v>
      </c>
      <c r="Z37" s="24"/>
      <c r="AA37" s="24"/>
      <c r="AB37" s="24"/>
      <c r="AC37" s="24"/>
      <c r="AD37" s="24"/>
    </row>
    <row r="38" spans="1:31" x14ac:dyDescent="0.3">
      <c r="A38" s="2">
        <v>45978</v>
      </c>
      <c r="B38" s="3">
        <v>267.45999999999998</v>
      </c>
      <c r="C38" s="3">
        <v>186.6</v>
      </c>
      <c r="D38" s="3">
        <v>408.92</v>
      </c>
      <c r="E38" s="3">
        <v>47.88</v>
      </c>
      <c r="F38" s="3">
        <v>34.01</v>
      </c>
      <c r="G38" s="4">
        <v>6672.41</v>
      </c>
      <c r="I38" s="3">
        <f t="shared" si="2"/>
        <v>-1.8338261876415136E-2</v>
      </c>
      <c r="J38" s="3">
        <f t="shared" si="2"/>
        <v>-1.8951120550941194E-2</v>
      </c>
      <c r="K38" s="3">
        <f t="shared" si="2"/>
        <v>1.1238698346982101E-2</v>
      </c>
      <c r="L38" s="3">
        <f t="shared" si="2"/>
        <v>-1.7596976165642327E-2</v>
      </c>
      <c r="M38" s="3">
        <f t="shared" si="2"/>
        <v>-2.5832230189277407E-2</v>
      </c>
      <c r="N38" s="3">
        <f t="shared" si="9"/>
        <v>-9.2045416140541063E-3</v>
      </c>
      <c r="X38" s="25" t="s">
        <v>21</v>
      </c>
      <c r="Y38" s="27">
        <f>Y37/Y35</f>
        <v>1.1751869075856247</v>
      </c>
      <c r="Z38" s="24"/>
      <c r="AA38" s="24"/>
      <c r="AB38" s="24"/>
      <c r="AC38" s="24"/>
      <c r="AD38" s="24"/>
    </row>
    <row r="39" spans="1:31" x14ac:dyDescent="0.3">
      <c r="A39" s="2">
        <v>45975</v>
      </c>
      <c r="B39" s="3">
        <v>272.41000000000003</v>
      </c>
      <c r="C39" s="3">
        <v>190.17</v>
      </c>
      <c r="D39" s="3">
        <v>404.35</v>
      </c>
      <c r="E39" s="3">
        <v>48.73</v>
      </c>
      <c r="F39" s="3">
        <v>34.9</v>
      </c>
      <c r="G39" s="4">
        <v>6734.11</v>
      </c>
      <c r="I39" s="3">
        <f t="shared" si="2"/>
        <v>-1.9803439067010314E-3</v>
      </c>
      <c r="J39" s="3">
        <f t="shared" si="2"/>
        <v>1.7558735599375073E-2</v>
      </c>
      <c r="K39" s="3">
        <f t="shared" si="2"/>
        <v>5.8536268541041414E-3</v>
      </c>
      <c r="L39" s="3">
        <f t="shared" si="2"/>
        <v>2.5354641656584864E-2</v>
      </c>
      <c r="M39" s="3">
        <f t="shared" si="2"/>
        <v>5.7323016760247149E-4</v>
      </c>
      <c r="N39" s="3">
        <f t="shared" si="9"/>
        <v>-5.0179638215562831E-4</v>
      </c>
    </row>
    <row r="40" spans="1:31" x14ac:dyDescent="0.3">
      <c r="A40" s="2">
        <v>45974</v>
      </c>
      <c r="B40" s="3">
        <v>272.95</v>
      </c>
      <c r="C40" s="3">
        <v>186.86</v>
      </c>
      <c r="D40" s="3">
        <v>401.99</v>
      </c>
      <c r="E40" s="3">
        <v>47.51</v>
      </c>
      <c r="F40" s="3">
        <v>34.880000000000003</v>
      </c>
      <c r="G40" s="4">
        <v>6737.49</v>
      </c>
      <c r="I40" s="3">
        <f t="shared" si="2"/>
        <v>-1.903298404073698E-3</v>
      </c>
      <c r="J40" s="3">
        <f t="shared" si="2"/>
        <v>-3.6467026091856238E-2</v>
      </c>
      <c r="K40" s="3">
        <f t="shared" si="2"/>
        <v>-6.8752372242535609E-2</v>
      </c>
      <c r="L40" s="3">
        <f t="shared" si="2"/>
        <v>-4.2087542708813788E-4</v>
      </c>
      <c r="M40" s="3">
        <f t="shared" si="2"/>
        <v>-1.4515695316593082E-2</v>
      </c>
      <c r="N40" s="3">
        <f t="shared" si="9"/>
        <v>-1.6695497821198804E-2</v>
      </c>
      <c r="Y40" s="23"/>
    </row>
    <row r="41" spans="1:31" ht="21.6" thickBot="1" x14ac:dyDescent="0.45">
      <c r="A41" s="2">
        <v>45973</v>
      </c>
      <c r="B41" s="3">
        <v>273.47000000000003</v>
      </c>
      <c r="C41" s="3">
        <v>193.8</v>
      </c>
      <c r="D41" s="3">
        <v>430.6</v>
      </c>
      <c r="E41" s="3">
        <v>47.53</v>
      </c>
      <c r="F41" s="3">
        <v>35.39</v>
      </c>
      <c r="G41" s="4">
        <v>6850.92</v>
      </c>
      <c r="I41" s="3">
        <f t="shared" si="2"/>
        <v>-6.4878489709490634E-3</v>
      </c>
      <c r="J41" s="3">
        <f t="shared" si="2"/>
        <v>3.3078384513247692E-3</v>
      </c>
      <c r="K41" s="3">
        <f t="shared" si="2"/>
        <v>-2.0731132469664827E-2</v>
      </c>
      <c r="L41" s="3">
        <f t="shared" si="2"/>
        <v>-2.9438278350601414E-2</v>
      </c>
      <c r="M41" s="3">
        <f t="shared" si="2"/>
        <v>1.1652824766916148E-2</v>
      </c>
      <c r="N41" s="3">
        <f t="shared" si="9"/>
        <v>6.2931056069833119E-4</v>
      </c>
      <c r="P41" s="95" t="s">
        <v>49</v>
      </c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</row>
    <row r="42" spans="1:31" x14ac:dyDescent="0.3">
      <c r="A42" s="2">
        <v>45972</v>
      </c>
      <c r="B42" s="3">
        <v>275.25</v>
      </c>
      <c r="C42" s="3">
        <v>193.16</v>
      </c>
      <c r="D42" s="3">
        <v>439.62</v>
      </c>
      <c r="E42" s="3">
        <v>48.95</v>
      </c>
      <c r="F42" s="3">
        <v>34.979999999999997</v>
      </c>
      <c r="G42" s="4">
        <v>6846.61</v>
      </c>
      <c r="I42" s="3">
        <f t="shared" si="2"/>
        <v>2.1371159251821259E-2</v>
      </c>
      <c r="J42" s="3">
        <f t="shared" si="2"/>
        <v>-3.003718844098513E-2</v>
      </c>
      <c r="K42" s="3">
        <f t="shared" si="2"/>
        <v>-1.2680285175909176E-2</v>
      </c>
      <c r="L42" s="3">
        <f t="shared" si="2"/>
        <v>3.0690561174179687E-3</v>
      </c>
      <c r="M42" s="3">
        <f t="shared" si="2"/>
        <v>-3.9942991764599228E-3</v>
      </c>
      <c r="N42" s="3">
        <f t="shared" si="9"/>
        <v>2.0732456487022851E-3</v>
      </c>
      <c r="P42" s="70"/>
      <c r="Q42" s="71"/>
      <c r="R42" s="71"/>
      <c r="S42" s="71"/>
      <c r="T42" s="71"/>
      <c r="U42" s="71"/>
      <c r="V42" s="71"/>
      <c r="W42" s="71"/>
      <c r="X42" s="71"/>
      <c r="Y42" s="72"/>
      <c r="Z42" s="71"/>
      <c r="AA42" s="71"/>
      <c r="AB42" s="71"/>
      <c r="AC42" s="71"/>
      <c r="AD42" s="71"/>
      <c r="AE42" s="73"/>
    </row>
    <row r="43" spans="1:31" x14ac:dyDescent="0.3">
      <c r="A43" s="2">
        <v>45971</v>
      </c>
      <c r="B43" s="3">
        <v>269.43</v>
      </c>
      <c r="C43" s="3">
        <v>199.05</v>
      </c>
      <c r="D43" s="3">
        <v>445.23</v>
      </c>
      <c r="E43" s="3">
        <v>48.8</v>
      </c>
      <c r="F43" s="3">
        <v>35.119999999999997</v>
      </c>
      <c r="G43" s="4">
        <v>6832.43</v>
      </c>
      <c r="I43" s="3">
        <f t="shared" si="2"/>
        <v>3.5694404880914532E-3</v>
      </c>
      <c r="J43" s="3">
        <f t="shared" si="2"/>
        <v>5.6316532406880018E-2</v>
      </c>
      <c r="K43" s="3">
        <f t="shared" si="2"/>
        <v>3.5922696461522546E-2</v>
      </c>
      <c r="L43" s="3">
        <f t="shared" si="2"/>
        <v>1.9241309454683858E-2</v>
      </c>
      <c r="M43" s="3">
        <f t="shared" si="2"/>
        <v>-6.2446981246345994E-3</v>
      </c>
      <c r="N43" s="3">
        <f t="shared" si="9"/>
        <v>1.5283571949665772E-2</v>
      </c>
      <c r="P43" s="74"/>
      <c r="Q43" t="s">
        <v>3</v>
      </c>
      <c r="R43" t="s">
        <v>4</v>
      </c>
      <c r="S43" t="s">
        <v>5</v>
      </c>
      <c r="T43" t="s">
        <v>27</v>
      </c>
      <c r="U43" t="s">
        <v>28</v>
      </c>
      <c r="V43" t="s">
        <v>47</v>
      </c>
      <c r="X43" s="94" t="s">
        <v>49</v>
      </c>
      <c r="Y43" s="94"/>
      <c r="Z43" s="94"/>
      <c r="AA43" s="94"/>
      <c r="AB43" s="94"/>
      <c r="AC43" s="94"/>
      <c r="AD43" s="94"/>
      <c r="AE43" s="75"/>
    </row>
    <row r="44" spans="1:31" x14ac:dyDescent="0.3">
      <c r="A44" s="2">
        <v>45968</v>
      </c>
      <c r="B44" s="3">
        <v>268.47000000000003</v>
      </c>
      <c r="C44" s="3">
        <v>188.15</v>
      </c>
      <c r="D44" s="3">
        <v>429.52</v>
      </c>
      <c r="E44" s="3">
        <v>47.87</v>
      </c>
      <c r="F44" s="3">
        <v>35.340000000000003</v>
      </c>
      <c r="G44" s="4">
        <v>6728.8</v>
      </c>
      <c r="I44" s="3">
        <f t="shared" si="2"/>
        <v>-4.8305682516764535E-3</v>
      </c>
      <c r="J44" s="3">
        <f t="shared" si="2"/>
        <v>3.7211280763218863E-4</v>
      </c>
      <c r="K44" s="3">
        <f t="shared" si="2"/>
        <v>-3.7448831820684383E-2</v>
      </c>
      <c r="L44" s="3">
        <f t="shared" si="2"/>
        <v>1.2190146748633307E-2</v>
      </c>
      <c r="M44" s="3">
        <f t="shared" si="2"/>
        <v>5.1063940745742767E-3</v>
      </c>
      <c r="N44" s="3">
        <f t="shared" si="9"/>
        <v>1.2610492171643028E-3</v>
      </c>
      <c r="P44" s="76" t="s">
        <v>11</v>
      </c>
      <c r="Q44" s="63">
        <v>0.25368540296352809</v>
      </c>
      <c r="R44" s="63">
        <v>0.49416983045984025</v>
      </c>
      <c r="S44" s="63">
        <v>0.59409030677985442</v>
      </c>
      <c r="T44" s="63">
        <v>0.30364131415291995</v>
      </c>
      <c r="U44" s="63">
        <v>0.21766415401448752</v>
      </c>
      <c r="V44" s="64"/>
      <c r="X44" s="77"/>
      <c r="Y44" s="77"/>
      <c r="Z44" s="77"/>
      <c r="AA44" s="77"/>
      <c r="AB44" s="77"/>
      <c r="AC44" s="77"/>
      <c r="AD44" s="77"/>
      <c r="AE44" s="75"/>
    </row>
    <row r="45" spans="1:31" x14ac:dyDescent="0.3">
      <c r="A45" s="2">
        <v>45967</v>
      </c>
      <c r="B45" s="3">
        <v>269.77</v>
      </c>
      <c r="C45" s="3">
        <v>188.08</v>
      </c>
      <c r="D45" s="3">
        <v>445.91</v>
      </c>
      <c r="E45" s="3">
        <v>47.29</v>
      </c>
      <c r="F45" s="3">
        <v>35.159999999999997</v>
      </c>
      <c r="G45" s="4">
        <v>6720.32</v>
      </c>
      <c r="I45" s="3">
        <f t="shared" si="2"/>
        <v>-1.3705990180649203E-3</v>
      </c>
      <c r="J45" s="3">
        <f t="shared" si="2"/>
        <v>-3.7208497943188312E-2</v>
      </c>
      <c r="K45" s="3">
        <f t="shared" si="2"/>
        <v>-3.5599256820994296E-2</v>
      </c>
      <c r="L45" s="3">
        <f t="shared" si="2"/>
        <v>5.3005530654128335E-3</v>
      </c>
      <c r="M45" s="3">
        <f t="shared" si="2"/>
        <v>-4.5403029187830977E-3</v>
      </c>
      <c r="N45" s="3">
        <f t="shared" si="9"/>
        <v>-1.1241102610422679E-2</v>
      </c>
      <c r="P45" s="76" t="s">
        <v>46</v>
      </c>
      <c r="Q45" s="63">
        <f>1/Q44</f>
        <v>3.9418901849223396</v>
      </c>
      <c r="R45" s="63">
        <f>1/R44</f>
        <v>2.0235958133451191</v>
      </c>
      <c r="S45" s="63">
        <f t="shared" ref="S45:U45" si="10">1/S44</f>
        <v>1.6832457769262328</v>
      </c>
      <c r="T45" s="63">
        <f t="shared" si="10"/>
        <v>3.2933594784021376</v>
      </c>
      <c r="U45" s="63">
        <f t="shared" si="10"/>
        <v>4.5942337383372776</v>
      </c>
      <c r="V45" s="65">
        <f>SUM(Q45:U45)</f>
        <v>15.536324991933107</v>
      </c>
      <c r="X45" s="66"/>
      <c r="Y45" s="66" t="s">
        <v>3</v>
      </c>
      <c r="Z45" s="66" t="s">
        <v>4</v>
      </c>
      <c r="AA45" s="66" t="s">
        <v>5</v>
      </c>
      <c r="AB45" s="66" t="s">
        <v>27</v>
      </c>
      <c r="AC45" s="66" t="s">
        <v>28</v>
      </c>
      <c r="AD45" s="77"/>
      <c r="AE45" s="75"/>
    </row>
    <row r="46" spans="1:31" x14ac:dyDescent="0.3">
      <c r="A46" s="2">
        <v>45966</v>
      </c>
      <c r="B46" s="3">
        <v>270.14</v>
      </c>
      <c r="C46" s="3">
        <v>195.21</v>
      </c>
      <c r="D46" s="3">
        <v>462.07</v>
      </c>
      <c r="E46" s="3">
        <v>47.04</v>
      </c>
      <c r="F46" s="3">
        <v>35.32</v>
      </c>
      <c r="G46" s="4">
        <v>6796.29</v>
      </c>
      <c r="I46" s="3">
        <f t="shared" si="2"/>
        <v>3.7024695894810876E-4</v>
      </c>
      <c r="J46" s="3">
        <f t="shared" si="2"/>
        <v>-1.7669918989995363E-2</v>
      </c>
      <c r="K46" s="3">
        <f t="shared" si="2"/>
        <v>3.9306418126516383E-2</v>
      </c>
      <c r="L46" s="3">
        <f t="shared" si="2"/>
        <v>2.3009293772234912E-2</v>
      </c>
      <c r="M46" s="3">
        <f t="shared" si="2"/>
        <v>-1.4615212370970489E-2</v>
      </c>
      <c r="N46" s="3">
        <f t="shared" si="9"/>
        <v>3.6468630849652776E-3</v>
      </c>
      <c r="P46" s="78" t="s">
        <v>48</v>
      </c>
      <c r="Q46" s="79">
        <f>Q45/$V$45</f>
        <v>0.25372088875387705</v>
      </c>
      <c r="R46" s="79">
        <f t="shared" ref="R46:U46" si="11">R45/$V$45</f>
        <v>0.13024932307967466</v>
      </c>
      <c r="S46" s="79">
        <f t="shared" si="11"/>
        <v>0.1083425956782071</v>
      </c>
      <c r="T46" s="79">
        <f t="shared" si="11"/>
        <v>0.21197802441131616</v>
      </c>
      <c r="U46" s="79">
        <f t="shared" si="11"/>
        <v>0.29570916807692499</v>
      </c>
      <c r="X46" s="66" t="s">
        <v>16</v>
      </c>
      <c r="Y46" s="36">
        <v>0.25372088875387705</v>
      </c>
      <c r="Z46" s="36">
        <v>0.13024932307967466</v>
      </c>
      <c r="AA46" s="36">
        <v>0.1083425956782071</v>
      </c>
      <c r="AB46" s="36">
        <v>0.21197802441131616</v>
      </c>
      <c r="AC46" s="36">
        <v>0.29570916807692499</v>
      </c>
      <c r="AD46" s="67">
        <f>SUM(Y46:AC46)</f>
        <v>1</v>
      </c>
      <c r="AE46" s="75"/>
    </row>
    <row r="47" spans="1:31" x14ac:dyDescent="0.3">
      <c r="A47" s="2">
        <v>45965</v>
      </c>
      <c r="B47" s="3">
        <v>270.04000000000002</v>
      </c>
      <c r="C47" s="3">
        <v>198.69</v>
      </c>
      <c r="D47" s="3">
        <v>444.26</v>
      </c>
      <c r="E47" s="3">
        <v>45.97</v>
      </c>
      <c r="F47" s="3">
        <v>35.840000000000003</v>
      </c>
      <c r="G47" s="4">
        <v>6771.55</v>
      </c>
      <c r="I47" s="3">
        <f t="shared" si="2"/>
        <v>3.6728602382412124E-3</v>
      </c>
      <c r="J47" s="3">
        <f t="shared" si="2"/>
        <v>-4.0393093858549521E-2</v>
      </c>
      <c r="K47" s="3">
        <f t="shared" si="2"/>
        <v>-5.2848605220562457E-2</v>
      </c>
      <c r="L47" s="3">
        <f t="shared" si="2"/>
        <v>-5.645722783977495E-2</v>
      </c>
      <c r="M47" s="3">
        <f t="shared" si="2"/>
        <v>2.7905678986747684E-4</v>
      </c>
      <c r="N47" s="3">
        <f t="shared" si="9"/>
        <v>-1.1806190194192139E-2</v>
      </c>
      <c r="P47" s="74"/>
      <c r="X47" s="77"/>
      <c r="Y47" s="77"/>
      <c r="Z47" s="77"/>
      <c r="AA47" s="77"/>
      <c r="AB47" s="77"/>
      <c r="AC47" s="77"/>
      <c r="AD47" s="77"/>
      <c r="AE47" s="75"/>
    </row>
    <row r="48" spans="1:31" x14ac:dyDescent="0.3">
      <c r="A48" s="2">
        <v>45964</v>
      </c>
      <c r="B48" s="3">
        <v>269.05</v>
      </c>
      <c r="C48" s="3">
        <v>206.88</v>
      </c>
      <c r="D48" s="3">
        <v>468.37</v>
      </c>
      <c r="E48" s="3">
        <v>48.64</v>
      </c>
      <c r="F48" s="3">
        <v>35.83</v>
      </c>
      <c r="G48" s="4">
        <v>6851.97</v>
      </c>
      <c r="I48" s="3">
        <f t="shared" si="2"/>
        <v>-4.8941553327728152E-3</v>
      </c>
      <c r="J48" s="3">
        <f t="shared" si="2"/>
        <v>2.1448412412369298E-2</v>
      </c>
      <c r="K48" s="3">
        <f t="shared" si="2"/>
        <v>2.5538455621586277E-2</v>
      </c>
      <c r="L48" s="3">
        <f t="shared" si="2"/>
        <v>4.7398337063087638E-3</v>
      </c>
      <c r="M48" s="3">
        <f t="shared" si="2"/>
        <v>-5.2888084309476828E-3</v>
      </c>
      <c r="N48" s="3">
        <f t="shared" si="9"/>
        <v>1.7192311955086541E-3</v>
      </c>
      <c r="P48" s="74"/>
      <c r="X48" s="77"/>
      <c r="Y48" s="77"/>
      <c r="Z48" s="77"/>
      <c r="AA48" s="77"/>
      <c r="AB48" s="77"/>
      <c r="AC48" s="77"/>
      <c r="AD48" s="77"/>
      <c r="AE48" s="75"/>
    </row>
    <row r="49" spans="1:31" x14ac:dyDescent="0.3">
      <c r="A49" s="2">
        <v>45961</v>
      </c>
      <c r="B49" s="3">
        <v>270.37</v>
      </c>
      <c r="C49" s="3">
        <v>202.49</v>
      </c>
      <c r="D49" s="3">
        <v>456.56</v>
      </c>
      <c r="E49" s="3">
        <v>48.41</v>
      </c>
      <c r="F49" s="3">
        <v>36.020000000000003</v>
      </c>
      <c r="G49" s="4">
        <v>6840.2</v>
      </c>
      <c r="I49" s="3">
        <f t="shared" si="2"/>
        <v>-3.8023561325672382E-3</v>
      </c>
      <c r="J49" s="3">
        <f t="shared" si="2"/>
        <v>-1.97345764378013E-3</v>
      </c>
      <c r="K49" s="3">
        <f t="shared" si="2"/>
        <v>3.671815241140685E-2</v>
      </c>
      <c r="L49" s="3">
        <f t="shared" si="2"/>
        <v>-3.5055196224234629E-3</v>
      </c>
      <c r="M49" s="3">
        <f t="shared" si="2"/>
        <v>1.0605737145201466E-2</v>
      </c>
      <c r="N49" s="3">
        <f t="shared" si="9"/>
        <v>2.6144494615600103E-3</v>
      </c>
      <c r="P49" s="74"/>
      <c r="X49" s="66" t="s">
        <v>17</v>
      </c>
      <c r="Y49" s="68" cm="1">
        <f t="array" ref="Y49">MMULT(Y46:AC46,MMULT(Q20:U24,TRANSPOSE(Y46:AC46)))</f>
        <v>4.4773704155705744E-2</v>
      </c>
      <c r="Z49" s="77"/>
      <c r="AA49" s="77"/>
      <c r="AB49" s="77"/>
      <c r="AC49" s="77"/>
      <c r="AD49" s="77"/>
      <c r="AE49" s="75"/>
    </row>
    <row r="50" spans="1:31" x14ac:dyDescent="0.3">
      <c r="A50" s="2">
        <v>45960</v>
      </c>
      <c r="B50" s="3">
        <v>271.39999999999998</v>
      </c>
      <c r="C50" s="3">
        <v>202.89</v>
      </c>
      <c r="D50" s="3">
        <v>440.1</v>
      </c>
      <c r="E50" s="3">
        <v>48.58</v>
      </c>
      <c r="F50" s="3">
        <v>35.64</v>
      </c>
      <c r="G50" s="4">
        <v>6822.34</v>
      </c>
      <c r="I50" s="3">
        <f t="shared" si="2"/>
        <v>6.2835172550845036E-3</v>
      </c>
      <c r="J50" s="3">
        <f t="shared" si="2"/>
        <v>-2.0248051057577456E-2</v>
      </c>
      <c r="K50" s="3">
        <f t="shared" si="2"/>
        <v>-4.7501748363475808E-2</v>
      </c>
      <c r="L50" s="3">
        <f t="shared" si="2"/>
        <v>5.366369947467E-3</v>
      </c>
      <c r="M50" s="3">
        <f t="shared" si="2"/>
        <v>9.5856386633576679E-3</v>
      </c>
      <c r="N50" s="3">
        <f t="shared" si="9"/>
        <v>-9.9541911976876295E-3</v>
      </c>
      <c r="P50" s="74"/>
      <c r="X50" s="66" t="s">
        <v>18</v>
      </c>
      <c r="Y50" s="69">
        <f>SQRT(Y49)</f>
        <v>0.21159797767395072</v>
      </c>
      <c r="Z50" s="77"/>
      <c r="AA50" s="77"/>
      <c r="AB50" s="77"/>
      <c r="AC50" s="77"/>
      <c r="AD50" s="77"/>
      <c r="AE50" s="75"/>
    </row>
    <row r="51" spans="1:31" x14ac:dyDescent="0.3">
      <c r="A51" s="2">
        <v>45959</v>
      </c>
      <c r="B51" s="3">
        <v>269.7</v>
      </c>
      <c r="C51" s="3">
        <v>207.04</v>
      </c>
      <c r="D51" s="3">
        <v>461.51</v>
      </c>
      <c r="E51" s="3">
        <v>48.32</v>
      </c>
      <c r="F51" s="3">
        <v>35.299999999999997</v>
      </c>
      <c r="G51" s="4">
        <v>6890.59</v>
      </c>
      <c r="I51" s="3">
        <f t="shared" si="2"/>
        <v>2.5988505438451492E-3</v>
      </c>
      <c r="J51" s="3">
        <f t="shared" si="2"/>
        <v>2.9457860659346562E-2</v>
      </c>
      <c r="K51" s="3">
        <f t="shared" si="2"/>
        <v>2.0822947462769224E-3</v>
      </c>
      <c r="L51" s="3">
        <f t="shared" si="2"/>
        <v>9.5654711463323203E-3</v>
      </c>
      <c r="M51" s="3">
        <f t="shared" si="2"/>
        <v>-1.070734377255766E-2</v>
      </c>
      <c r="N51" s="3">
        <f t="shared" si="9"/>
        <v>-4.3536688374153406E-5</v>
      </c>
      <c r="P51" s="74"/>
      <c r="X51" s="66" t="s">
        <v>19</v>
      </c>
      <c r="Y51" s="69">
        <f>SUMPRODUCT(Y46:AC46,Q4:U4)</f>
        <v>0.25793629858721651</v>
      </c>
      <c r="Z51" s="77"/>
      <c r="AA51" s="77"/>
      <c r="AB51" s="77"/>
      <c r="AC51" s="77"/>
      <c r="AD51" s="77"/>
      <c r="AE51" s="75"/>
    </row>
    <row r="52" spans="1:31" x14ac:dyDescent="0.3">
      <c r="A52" s="2">
        <v>45958</v>
      </c>
      <c r="B52" s="3">
        <v>269</v>
      </c>
      <c r="C52" s="3">
        <v>201.03</v>
      </c>
      <c r="D52" s="3">
        <v>460.55</v>
      </c>
      <c r="E52" s="3">
        <v>47.86</v>
      </c>
      <c r="F52" s="3">
        <v>35.68</v>
      </c>
      <c r="G52" s="4">
        <v>6890.89</v>
      </c>
      <c r="I52" s="3">
        <f t="shared" si="2"/>
        <v>7.0656926388370416E-4</v>
      </c>
      <c r="J52" s="3">
        <f t="shared" si="2"/>
        <v>4.8618562717113407E-2</v>
      </c>
      <c r="K52" s="3">
        <f t="shared" si="2"/>
        <v>1.7810475504555157E-2</v>
      </c>
      <c r="L52" s="3">
        <f t="shared" si="2"/>
        <v>2.6679541348627021E-2</v>
      </c>
      <c r="M52" s="3">
        <f t="shared" si="2"/>
        <v>-8.9286307443014312E-3</v>
      </c>
      <c r="N52" s="3">
        <f t="shared" si="9"/>
        <v>2.2853333884670069E-3</v>
      </c>
      <c r="P52" s="74"/>
      <c r="X52" s="66" t="s">
        <v>20</v>
      </c>
      <c r="Y52" s="36">
        <f>Y51-AH2</f>
        <v>0.21753629858721651</v>
      </c>
      <c r="Z52" s="77"/>
      <c r="AA52" s="77"/>
      <c r="AB52" s="77"/>
      <c r="AC52" s="77"/>
      <c r="AD52" s="77"/>
      <c r="AE52" s="75"/>
    </row>
    <row r="53" spans="1:31" x14ac:dyDescent="0.3">
      <c r="A53" s="2">
        <v>45957</v>
      </c>
      <c r="B53" s="3">
        <v>268.81</v>
      </c>
      <c r="C53" s="3">
        <v>191.49</v>
      </c>
      <c r="D53" s="3">
        <v>452.42</v>
      </c>
      <c r="E53" s="3">
        <v>46.6</v>
      </c>
      <c r="F53" s="3">
        <v>36</v>
      </c>
      <c r="G53" s="4">
        <v>6875.16</v>
      </c>
      <c r="I53" s="3">
        <f t="shared" si="2"/>
        <v>2.2535423122463517E-2</v>
      </c>
      <c r="J53" s="3">
        <f t="shared" si="2"/>
        <v>2.769204084256395E-2</v>
      </c>
      <c r="K53" s="3">
        <f t="shared" si="2"/>
        <v>4.2211787325708315E-2</v>
      </c>
      <c r="L53" s="3">
        <f t="shared" si="2"/>
        <v>-1.4909754366287038E-2</v>
      </c>
      <c r="M53" s="3">
        <f t="shared" si="2"/>
        <v>-3.6046067034389605E-3</v>
      </c>
      <c r="N53" s="3">
        <f t="shared" si="9"/>
        <v>1.2215109973364811E-2</v>
      </c>
      <c r="P53" s="74"/>
      <c r="X53" s="66" t="s">
        <v>21</v>
      </c>
      <c r="Y53" s="68">
        <f>Y52/Y50</f>
        <v>1.0280641666737294</v>
      </c>
      <c r="Z53" s="77"/>
      <c r="AA53" s="77"/>
      <c r="AB53" s="77"/>
      <c r="AC53" s="77"/>
      <c r="AD53" s="77"/>
      <c r="AE53" s="75"/>
    </row>
    <row r="54" spans="1:31" x14ac:dyDescent="0.3">
      <c r="A54" s="2">
        <v>45954</v>
      </c>
      <c r="B54" s="3">
        <v>262.82</v>
      </c>
      <c r="C54" s="3">
        <v>186.26</v>
      </c>
      <c r="D54" s="3">
        <v>433.72</v>
      </c>
      <c r="E54" s="3">
        <v>47.3</v>
      </c>
      <c r="F54" s="3">
        <v>36.130000000000003</v>
      </c>
      <c r="G54" s="4">
        <v>6791.69</v>
      </c>
      <c r="I54" s="3">
        <f t="shared" si="2"/>
        <v>1.2404446955879033E-2</v>
      </c>
      <c r="J54" s="3">
        <f t="shared" si="2"/>
        <v>2.2258125338027658E-2</v>
      </c>
      <c r="K54" s="3">
        <f t="shared" si="2"/>
        <v>-3.4579178716340912E-2</v>
      </c>
      <c r="L54" s="3">
        <f t="shared" si="2"/>
        <v>-3.3062581092666965E-2</v>
      </c>
      <c r="M54" s="3">
        <f t="shared" si="2"/>
        <v>1.6746135126613253E-2</v>
      </c>
      <c r="N54" s="3">
        <f t="shared" si="9"/>
        <v>7.8713619070685803E-3</v>
      </c>
      <c r="P54" s="74"/>
      <c r="AE54" s="75"/>
    </row>
    <row r="55" spans="1:31" ht="15" thickBot="1" x14ac:dyDescent="0.35">
      <c r="A55" s="2">
        <v>45953</v>
      </c>
      <c r="B55" s="3">
        <v>259.58</v>
      </c>
      <c r="C55" s="3">
        <v>182.16</v>
      </c>
      <c r="D55" s="3">
        <v>448.98</v>
      </c>
      <c r="E55" s="3">
        <v>48.89</v>
      </c>
      <c r="F55" s="3">
        <v>35.53</v>
      </c>
      <c r="G55" s="4">
        <v>6738.44</v>
      </c>
      <c r="I55" s="3">
        <f t="shared" si="2"/>
        <v>4.3626886175645412E-3</v>
      </c>
      <c r="J55" s="3">
        <f t="shared" si="2"/>
        <v>1.0374223933036669E-2</v>
      </c>
      <c r="K55" s="3">
        <f t="shared" si="2"/>
        <v>2.2547269710079459E-2</v>
      </c>
      <c r="L55" s="3">
        <f t="shared" si="2"/>
        <v>3.3062581092667034E-2</v>
      </c>
      <c r="M55" s="3">
        <f t="shared" si="2"/>
        <v>-1.0916833401063166E-2</v>
      </c>
      <c r="N55" s="3">
        <f t="shared" si="9"/>
        <v>5.8104739805954339E-3</v>
      </c>
      <c r="P55" s="80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2"/>
    </row>
    <row r="56" spans="1:31" x14ac:dyDescent="0.3">
      <c r="A56" s="2">
        <v>45952</v>
      </c>
      <c r="B56" s="3">
        <v>258.45</v>
      </c>
      <c r="C56" s="3">
        <v>180.28</v>
      </c>
      <c r="D56" s="3">
        <v>438.97</v>
      </c>
      <c r="E56" s="3">
        <v>47.3</v>
      </c>
      <c r="F56" s="3">
        <v>35.92</v>
      </c>
      <c r="G56" s="4">
        <v>6699.4</v>
      </c>
      <c r="I56" s="3">
        <f t="shared" si="2"/>
        <v>-1.6576873201058953E-2</v>
      </c>
      <c r="J56" s="3">
        <f t="shared" si="2"/>
        <v>-4.8694208655655552E-3</v>
      </c>
      <c r="K56" s="3">
        <f t="shared" si="2"/>
        <v>-8.235354006706502E-3</v>
      </c>
      <c r="L56" s="3">
        <f t="shared" si="2"/>
        <v>1.1696039763191236E-2</v>
      </c>
      <c r="M56" s="3">
        <f t="shared" si="2"/>
        <v>5.3035713986804931E-3</v>
      </c>
      <c r="N56" s="3">
        <f t="shared" si="9"/>
        <v>-5.3518056988170791E-3</v>
      </c>
    </row>
    <row r="57" spans="1:31" x14ac:dyDescent="0.3">
      <c r="A57" s="2">
        <v>45951</v>
      </c>
      <c r="B57" s="3">
        <v>262.77</v>
      </c>
      <c r="C57" s="3">
        <v>181.16</v>
      </c>
      <c r="D57" s="3">
        <v>442.6</v>
      </c>
      <c r="E57" s="3">
        <v>46.75</v>
      </c>
      <c r="F57" s="3">
        <v>35.729999999999997</v>
      </c>
      <c r="G57" s="4">
        <v>6735.35</v>
      </c>
      <c r="I57" s="3">
        <f t="shared" si="2"/>
        <v>2.0190098475877521E-3</v>
      </c>
      <c r="J57" s="3">
        <f t="shared" si="2"/>
        <v>-8.1363835335269506E-3</v>
      </c>
      <c r="K57" s="3">
        <f t="shared" si="2"/>
        <v>-1.0853673281354382E-2</v>
      </c>
      <c r="L57" s="3">
        <f t="shared" si="2"/>
        <v>1.0104353409220166E-2</v>
      </c>
      <c r="M57" s="3">
        <f t="shared" si="2"/>
        <v>-2.5968310047916394E-2</v>
      </c>
      <c r="N57" s="3">
        <f t="shared" si="9"/>
        <v>3.2664017914663565E-5</v>
      </c>
    </row>
    <row r="58" spans="1:31" x14ac:dyDescent="0.3">
      <c r="A58" s="2">
        <v>45950</v>
      </c>
      <c r="B58" s="3">
        <v>262.24</v>
      </c>
      <c r="C58" s="3">
        <v>182.64</v>
      </c>
      <c r="D58" s="3">
        <v>447.43</v>
      </c>
      <c r="E58" s="3">
        <v>46.28</v>
      </c>
      <c r="F58" s="3">
        <v>36.67</v>
      </c>
      <c r="G58" s="4">
        <v>6735.13</v>
      </c>
      <c r="I58" s="3">
        <f t="shared" si="2"/>
        <v>3.8680895488745502E-2</v>
      </c>
      <c r="J58" s="3">
        <f t="shared" si="2"/>
        <v>-3.1706143655225736E-3</v>
      </c>
      <c r="K58" s="3">
        <f t="shared" si="2"/>
        <v>1.8314786688287826E-2</v>
      </c>
      <c r="L58" s="3">
        <f t="shared" si="2"/>
        <v>2.4055391285618666E-2</v>
      </c>
      <c r="M58" s="3">
        <f t="shared" si="2"/>
        <v>1.9107416759139807E-3</v>
      </c>
      <c r="N58" s="3">
        <f t="shared" si="9"/>
        <v>1.0615706365319902E-2</v>
      </c>
    </row>
    <row r="59" spans="1:31" x14ac:dyDescent="0.3">
      <c r="A59" s="2">
        <v>45947</v>
      </c>
      <c r="B59" s="3">
        <v>252.29</v>
      </c>
      <c r="C59" s="3">
        <v>183.22</v>
      </c>
      <c r="D59" s="3">
        <v>439.31</v>
      </c>
      <c r="E59" s="3">
        <v>45.18</v>
      </c>
      <c r="F59" s="3">
        <v>36.6</v>
      </c>
      <c r="G59" s="4">
        <v>6664.01</v>
      </c>
      <c r="I59" s="3">
        <f t="shared" si="2"/>
        <v>1.9370678108879068E-2</v>
      </c>
      <c r="J59" s="3">
        <f t="shared" si="2"/>
        <v>7.7254308558810866E-3</v>
      </c>
      <c r="K59" s="3">
        <f t="shared" si="2"/>
        <v>2.4331315729866188E-2</v>
      </c>
      <c r="L59" s="3">
        <f t="shared" si="2"/>
        <v>1.2024192966801591E-2</v>
      </c>
      <c r="M59" s="3">
        <f t="shared" si="2"/>
        <v>1.6807118316381191E-2</v>
      </c>
      <c r="N59" s="3">
        <f t="shared" si="9"/>
        <v>5.2568825980633324E-3</v>
      </c>
    </row>
    <row r="60" spans="1:31" x14ac:dyDescent="0.3">
      <c r="A60" s="2">
        <v>45946</v>
      </c>
      <c r="B60" s="3">
        <v>247.45</v>
      </c>
      <c r="C60" s="3">
        <v>181.81</v>
      </c>
      <c r="D60" s="3">
        <v>428.75</v>
      </c>
      <c r="E60" s="3">
        <v>44.64</v>
      </c>
      <c r="F60" s="3">
        <v>35.99</v>
      </c>
      <c r="G60" s="4">
        <v>6629.07</v>
      </c>
      <c r="I60" s="3">
        <f t="shared" si="2"/>
        <v>-7.6088855189339194E-3</v>
      </c>
      <c r="J60" s="3">
        <f t="shared" si="2"/>
        <v>1.0950225554075873E-2</v>
      </c>
      <c r="K60" s="3">
        <f t="shared" si="2"/>
        <v>-1.4816800755373014E-2</v>
      </c>
      <c r="L60" s="3">
        <f t="shared" si="2"/>
        <v>3.8155135504504729E-3</v>
      </c>
      <c r="M60" s="3">
        <f t="shared" si="2"/>
        <v>-6.9223590838392007E-3</v>
      </c>
      <c r="N60" s="3">
        <f t="shared" si="9"/>
        <v>-6.3142449751388335E-3</v>
      </c>
    </row>
    <row r="61" spans="1:31" x14ac:dyDescent="0.3">
      <c r="A61" s="2">
        <v>45945</v>
      </c>
      <c r="B61" s="3">
        <v>249.34</v>
      </c>
      <c r="C61" s="3">
        <v>179.83</v>
      </c>
      <c r="D61" s="3">
        <v>435.15</v>
      </c>
      <c r="E61" s="3">
        <v>44.47</v>
      </c>
      <c r="F61" s="3">
        <v>36.24</v>
      </c>
      <c r="G61" s="4">
        <v>6671.06</v>
      </c>
      <c r="I61" s="3">
        <f t="shared" si="2"/>
        <v>6.3165304260936386E-3</v>
      </c>
      <c r="J61" s="3">
        <f t="shared" si="2"/>
        <v>-1.1115434924256463E-3</v>
      </c>
      <c r="K61" s="3">
        <f t="shared" si="2"/>
        <v>1.3674596176595898E-2</v>
      </c>
      <c r="L61" s="3">
        <f t="shared" si="2"/>
        <v>-8.0627536447429975E-3</v>
      </c>
      <c r="M61" s="3">
        <f t="shared" si="2"/>
        <v>3.0399360152297793E-3</v>
      </c>
      <c r="N61" s="3">
        <f t="shared" si="9"/>
        <v>4.0179185387894355E-3</v>
      </c>
    </row>
    <row r="62" spans="1:31" x14ac:dyDescent="0.3">
      <c r="A62" s="2">
        <v>45944</v>
      </c>
      <c r="B62" s="3">
        <v>247.77</v>
      </c>
      <c r="C62" s="3">
        <v>180.03</v>
      </c>
      <c r="D62" s="3">
        <v>429.24</v>
      </c>
      <c r="E62" s="3">
        <v>44.83</v>
      </c>
      <c r="F62" s="3">
        <v>36.130000000000003</v>
      </c>
      <c r="G62" s="4">
        <v>6644.31</v>
      </c>
      <c r="I62" s="3">
        <f t="shared" si="2"/>
        <v>4.440587037828413E-4</v>
      </c>
      <c r="J62" s="3">
        <f t="shared" si="2"/>
        <v>-4.5019139842435364E-2</v>
      </c>
      <c r="K62" s="3">
        <f t="shared" si="2"/>
        <v>-1.5396656185420139E-2</v>
      </c>
      <c r="L62" s="3">
        <f t="shared" si="2"/>
        <v>-1.4614963414564704E-2</v>
      </c>
      <c r="M62" s="3">
        <f t="shared" si="2"/>
        <v>1.5620959199185019E-2</v>
      </c>
      <c r="N62" s="3">
        <f t="shared" si="9"/>
        <v>-1.565528031162684E-3</v>
      </c>
    </row>
    <row r="63" spans="1:31" x14ac:dyDescent="0.3">
      <c r="A63" s="2">
        <v>45943</v>
      </c>
      <c r="B63" s="3">
        <v>247.66</v>
      </c>
      <c r="C63" s="3">
        <v>188.32</v>
      </c>
      <c r="D63" s="3">
        <v>435.9</v>
      </c>
      <c r="E63" s="3">
        <v>45.49</v>
      </c>
      <c r="F63" s="3">
        <v>35.57</v>
      </c>
      <c r="G63" s="4">
        <v>6654.72</v>
      </c>
      <c r="I63" s="3">
        <f t="shared" si="2"/>
        <v>9.6971932271071818E-3</v>
      </c>
      <c r="J63" s="3">
        <f t="shared" si="2"/>
        <v>2.7782555723071794E-2</v>
      </c>
      <c r="K63" s="3">
        <f t="shared" si="2"/>
        <v>5.2779528869889569E-2</v>
      </c>
      <c r="L63" s="3">
        <f t="shared" si="2"/>
        <v>9.9415377504777445E-3</v>
      </c>
      <c r="M63" s="3">
        <f t="shared" ref="M63:N126" si="12">LN(F63/F64)</f>
        <v>2.2516193019587734E-3</v>
      </c>
      <c r="N63" s="3">
        <f t="shared" si="9"/>
        <v>1.5478194983781826E-2</v>
      </c>
    </row>
    <row r="64" spans="1:31" x14ac:dyDescent="0.3">
      <c r="A64" s="2">
        <v>45940</v>
      </c>
      <c r="B64" s="3">
        <v>245.27</v>
      </c>
      <c r="C64" s="3">
        <v>183.16</v>
      </c>
      <c r="D64" s="3">
        <v>413.49</v>
      </c>
      <c r="E64" s="3">
        <v>45.04</v>
      </c>
      <c r="F64" s="3">
        <v>35.49</v>
      </c>
      <c r="G64" s="4">
        <v>6552.51</v>
      </c>
      <c r="I64" s="3">
        <f t="shared" si="2"/>
        <v>-3.5132090374928697E-2</v>
      </c>
      <c r="J64" s="3">
        <f t="shared" si="2"/>
        <v>-5.0099636202901775E-2</v>
      </c>
      <c r="K64" s="3">
        <f t="shared" si="2"/>
        <v>-5.1953310150347105E-2</v>
      </c>
      <c r="L64" s="3">
        <f t="shared" si="2"/>
        <v>-6.1355730523083074E-2</v>
      </c>
      <c r="M64" s="3">
        <f t="shared" si="12"/>
        <v>-1.5655897072552796E-2</v>
      </c>
      <c r="N64" s="3">
        <f t="shared" si="9"/>
        <v>-2.748595997057204E-2</v>
      </c>
    </row>
    <row r="65" spans="1:14" x14ac:dyDescent="0.3">
      <c r="A65" s="2">
        <v>45939</v>
      </c>
      <c r="B65" s="3">
        <v>254.04</v>
      </c>
      <c r="C65" s="3">
        <v>192.57</v>
      </c>
      <c r="D65" s="3">
        <v>435.54</v>
      </c>
      <c r="E65" s="3">
        <v>47.89</v>
      </c>
      <c r="F65" s="3">
        <v>36.049999999999997</v>
      </c>
      <c r="G65" s="4">
        <v>6735.11</v>
      </c>
      <c r="I65" s="3">
        <f t="shared" si="2"/>
        <v>-1.5700381088925939E-2</v>
      </c>
      <c r="J65" s="3">
        <f t="shared" si="2"/>
        <v>1.8130867652614829E-2</v>
      </c>
      <c r="K65" s="3">
        <f t="shared" si="2"/>
        <v>-7.2063727670931164E-3</v>
      </c>
      <c r="L65" s="3">
        <f t="shared" si="2"/>
        <v>8.3559645555470136E-4</v>
      </c>
      <c r="M65" s="3">
        <f t="shared" si="12"/>
        <v>2.7777795639021483E-3</v>
      </c>
      <c r="N65" s="3">
        <f t="shared" si="9"/>
        <v>-2.7593218696984716E-3</v>
      </c>
    </row>
    <row r="66" spans="1:14" x14ac:dyDescent="0.3">
      <c r="A66" s="2">
        <v>45938</v>
      </c>
      <c r="B66" s="3">
        <v>258.06</v>
      </c>
      <c r="C66" s="3">
        <v>189.11</v>
      </c>
      <c r="D66" s="3">
        <v>438.69</v>
      </c>
      <c r="E66" s="3">
        <v>47.85</v>
      </c>
      <c r="F66" s="3">
        <v>35.950000000000003</v>
      </c>
      <c r="G66" s="4">
        <v>6753.72</v>
      </c>
      <c r="I66" s="3">
        <f t="shared" si="2"/>
        <v>6.1414271624570778E-3</v>
      </c>
      <c r="J66" s="3">
        <f t="shared" si="2"/>
        <v>2.1756838415997942E-2</v>
      </c>
      <c r="K66" s="3">
        <f t="shared" si="2"/>
        <v>1.2847454693686654E-2</v>
      </c>
      <c r="L66" s="3">
        <f t="shared" si="2"/>
        <v>-1.5140805675063051E-2</v>
      </c>
      <c r="M66" s="3">
        <f t="shared" si="12"/>
        <v>-1.1120379238836206E-3</v>
      </c>
      <c r="N66" s="3">
        <f t="shared" si="9"/>
        <v>5.8106934127934015E-3</v>
      </c>
    </row>
    <row r="67" spans="1:14" x14ac:dyDescent="0.3">
      <c r="A67" s="2">
        <v>45937</v>
      </c>
      <c r="B67" s="3">
        <v>256.48</v>
      </c>
      <c r="C67" s="3">
        <v>185.04</v>
      </c>
      <c r="D67" s="3">
        <v>433.09</v>
      </c>
      <c r="E67" s="3">
        <v>48.58</v>
      </c>
      <c r="F67" s="3">
        <v>35.99</v>
      </c>
      <c r="G67" s="4">
        <v>6714.59</v>
      </c>
      <c r="I67" s="3">
        <f t="shared" si="2"/>
        <v>-8.1844227730499413E-4</v>
      </c>
      <c r="J67" s="3">
        <f t="shared" si="2"/>
        <v>-2.6984743019416776E-3</v>
      </c>
      <c r="K67" s="3">
        <f t="shared" si="2"/>
        <v>-4.5498291036749759E-2</v>
      </c>
      <c r="L67" s="3">
        <f t="shared" si="2"/>
        <v>-1.0239696268684269E-2</v>
      </c>
      <c r="M67" s="3">
        <f t="shared" si="12"/>
        <v>-7.1982592097444079E-3</v>
      </c>
      <c r="N67" s="3">
        <f t="shared" si="9"/>
        <v>-3.818696311234345E-3</v>
      </c>
    </row>
    <row r="68" spans="1:14" x14ac:dyDescent="0.3">
      <c r="A68" s="2">
        <v>45936</v>
      </c>
      <c r="B68" s="3">
        <v>256.69</v>
      </c>
      <c r="C68" s="3">
        <v>185.54</v>
      </c>
      <c r="D68" s="3">
        <v>453.25</v>
      </c>
      <c r="E68" s="3">
        <v>49.08</v>
      </c>
      <c r="F68" s="3">
        <v>36.25</v>
      </c>
      <c r="G68" s="4">
        <v>6740.28</v>
      </c>
      <c r="I68" s="3">
        <f t="shared" ref="I68:L131" si="13">LN(B68/B69)</f>
        <v>-5.1679701584425612E-3</v>
      </c>
      <c r="J68" s="3">
        <f t="shared" si="13"/>
        <v>-1.1148148472679576E-2</v>
      </c>
      <c r="K68" s="3">
        <f t="shared" si="13"/>
        <v>5.3054067955517092E-2</v>
      </c>
      <c r="L68" s="3">
        <f t="shared" si="13"/>
        <v>1.1887821899273045E-2</v>
      </c>
      <c r="M68" s="3">
        <f t="shared" si="12"/>
        <v>6.642703639900026E-3</v>
      </c>
      <c r="N68" s="3">
        <f t="shared" si="9"/>
        <v>3.6399969738822847E-3</v>
      </c>
    </row>
    <row r="69" spans="1:14" x14ac:dyDescent="0.3">
      <c r="A69" s="2">
        <v>45933</v>
      </c>
      <c r="B69" s="3">
        <v>258.02</v>
      </c>
      <c r="C69" s="3">
        <v>187.62</v>
      </c>
      <c r="D69" s="3">
        <v>429.83</v>
      </c>
      <c r="E69" s="3">
        <v>48.5</v>
      </c>
      <c r="F69" s="3">
        <v>36.01</v>
      </c>
      <c r="G69" s="4">
        <v>6715.79</v>
      </c>
      <c r="I69" s="3">
        <f t="shared" si="13"/>
        <v>3.4553077180894433E-3</v>
      </c>
      <c r="J69" s="3">
        <f t="shared" si="13"/>
        <v>-6.746194345923261E-3</v>
      </c>
      <c r="K69" s="3">
        <f t="shared" si="13"/>
        <v>-1.4252461669591017E-2</v>
      </c>
      <c r="L69" s="3">
        <f t="shared" si="13"/>
        <v>2.0639842208514275E-3</v>
      </c>
      <c r="M69" s="3">
        <f t="shared" si="12"/>
        <v>1.2294091700420017E-2</v>
      </c>
      <c r="N69" s="3">
        <f t="shared" si="9"/>
        <v>6.5519382592537398E-5</v>
      </c>
    </row>
    <row r="70" spans="1:14" x14ac:dyDescent="0.3">
      <c r="A70" s="2">
        <v>45932</v>
      </c>
      <c r="B70" s="3">
        <v>257.13</v>
      </c>
      <c r="C70" s="3">
        <v>188.89</v>
      </c>
      <c r="D70" s="3">
        <v>436</v>
      </c>
      <c r="E70" s="3">
        <v>48.4</v>
      </c>
      <c r="F70" s="3">
        <v>35.57</v>
      </c>
      <c r="G70" s="4">
        <v>6715.35</v>
      </c>
      <c r="I70" s="3">
        <f t="shared" si="13"/>
        <v>6.555097802094065E-3</v>
      </c>
      <c r="J70" s="3">
        <f t="shared" si="13"/>
        <v>8.7736186118584185E-3</v>
      </c>
      <c r="K70" s="3">
        <f t="shared" si="13"/>
        <v>-5.2409643514990563E-2</v>
      </c>
      <c r="L70" s="3">
        <f t="shared" si="13"/>
        <v>8.2678797599399563E-4</v>
      </c>
      <c r="M70" s="3">
        <f t="shared" si="12"/>
        <v>1.6154524470950102E-2</v>
      </c>
      <c r="N70" s="3">
        <f t="shared" si="9"/>
        <v>6.1817818161168602E-4</v>
      </c>
    </row>
    <row r="71" spans="1:14" x14ac:dyDescent="0.3">
      <c r="A71" s="2">
        <v>45931</v>
      </c>
      <c r="B71" s="3">
        <v>255.45</v>
      </c>
      <c r="C71" s="3">
        <v>187.24</v>
      </c>
      <c r="D71" s="3">
        <v>459.46</v>
      </c>
      <c r="E71" s="3">
        <v>48.36</v>
      </c>
      <c r="F71" s="3">
        <v>35</v>
      </c>
      <c r="G71" s="4">
        <v>6711.2</v>
      </c>
      <c r="I71" s="3">
        <f t="shared" si="13"/>
        <v>3.2151847019672259E-3</v>
      </c>
      <c r="J71" s="3">
        <f t="shared" si="13"/>
        <v>3.531114899054744E-3</v>
      </c>
      <c r="K71" s="3">
        <f t="shared" si="13"/>
        <v>3.2607016218810667E-2</v>
      </c>
      <c r="L71" s="3">
        <f t="shared" si="13"/>
        <v>-7.4165976550495949E-3</v>
      </c>
      <c r="M71" s="3">
        <f t="shared" si="12"/>
        <v>-1.4466285465582785E-2</v>
      </c>
      <c r="N71" s="3">
        <f t="shared" si="9"/>
        <v>3.3941192284702741E-3</v>
      </c>
    </row>
    <row r="72" spans="1:14" x14ac:dyDescent="0.3">
      <c r="A72" s="2">
        <v>45930</v>
      </c>
      <c r="B72" s="3">
        <v>254.63</v>
      </c>
      <c r="C72" s="3">
        <v>186.58</v>
      </c>
      <c r="D72" s="3">
        <v>444.72</v>
      </c>
      <c r="E72" s="3">
        <v>48.72</v>
      </c>
      <c r="F72" s="3">
        <v>35.51</v>
      </c>
      <c r="G72" s="4">
        <v>6688.46</v>
      </c>
      <c r="I72" s="3">
        <f t="shared" si="13"/>
        <v>7.8576203312136412E-4</v>
      </c>
      <c r="J72" s="3">
        <f t="shared" si="13"/>
        <v>2.5677930099817125E-2</v>
      </c>
      <c r="K72" s="3">
        <f t="shared" si="13"/>
        <v>3.4011722897895214E-3</v>
      </c>
      <c r="L72" s="3">
        <f t="shared" si="13"/>
        <v>-3.6873322064838773E-2</v>
      </c>
      <c r="M72" s="3">
        <f t="shared" si="12"/>
        <v>-8.9711843618659522E-3</v>
      </c>
      <c r="N72" s="3">
        <f t="shared" si="9"/>
        <v>4.08250358961618E-3</v>
      </c>
    </row>
    <row r="73" spans="1:14" x14ac:dyDescent="0.3">
      <c r="A73" s="2">
        <v>45929</v>
      </c>
      <c r="B73" s="3">
        <v>254.43</v>
      </c>
      <c r="C73" s="3">
        <v>181.85</v>
      </c>
      <c r="D73" s="3">
        <v>443.21</v>
      </c>
      <c r="E73" s="3">
        <v>50.55</v>
      </c>
      <c r="F73" s="3">
        <v>35.83</v>
      </c>
      <c r="G73" s="4">
        <v>6661.21</v>
      </c>
      <c r="I73" s="3">
        <f t="shared" si="13"/>
        <v>-4.040092572912473E-3</v>
      </c>
      <c r="J73" s="3">
        <f t="shared" si="13"/>
        <v>2.0331774693674635E-2</v>
      </c>
      <c r="K73" s="3">
        <f t="shared" si="13"/>
        <v>6.36029350689973E-3</v>
      </c>
      <c r="L73" s="3">
        <f t="shared" si="13"/>
        <v>5.9364798418989819E-4</v>
      </c>
      <c r="M73" s="3">
        <f t="shared" si="12"/>
        <v>5.2130932297758462E-2</v>
      </c>
      <c r="N73" s="3">
        <f t="shared" si="9"/>
        <v>2.6321125222386276E-3</v>
      </c>
    </row>
    <row r="74" spans="1:14" x14ac:dyDescent="0.3">
      <c r="A74" s="2">
        <v>45926</v>
      </c>
      <c r="B74" s="3">
        <v>255.46</v>
      </c>
      <c r="C74" s="3">
        <v>178.19</v>
      </c>
      <c r="D74" s="3">
        <v>440.4</v>
      </c>
      <c r="E74" s="3">
        <v>50.52</v>
      </c>
      <c r="F74" s="3">
        <v>34.01</v>
      </c>
      <c r="G74" s="4">
        <v>6643.7</v>
      </c>
      <c r="I74" s="3">
        <f t="shared" si="13"/>
        <v>-5.5042787262334567E-3</v>
      </c>
      <c r="J74" s="3">
        <f t="shared" si="13"/>
        <v>2.8099377823398229E-3</v>
      </c>
      <c r="K74" s="3">
        <f t="shared" si="13"/>
        <v>3.9389664754499669E-2</v>
      </c>
      <c r="L74" s="3">
        <f t="shared" si="13"/>
        <v>8.3482893914712444E-3</v>
      </c>
      <c r="M74" s="3">
        <f t="shared" si="12"/>
        <v>6.7856876394500115E-3</v>
      </c>
      <c r="N74" s="3">
        <f t="shared" si="9"/>
        <v>5.8844922610819797E-3</v>
      </c>
    </row>
    <row r="75" spans="1:14" x14ac:dyDescent="0.3">
      <c r="A75" s="2">
        <v>45925</v>
      </c>
      <c r="B75" s="3">
        <v>256.87</v>
      </c>
      <c r="C75" s="3">
        <v>177.69</v>
      </c>
      <c r="D75" s="3">
        <v>423.39</v>
      </c>
      <c r="E75" s="3">
        <v>50.1</v>
      </c>
      <c r="F75" s="3">
        <v>33.78</v>
      </c>
      <c r="G75" s="4">
        <v>6604.72</v>
      </c>
      <c r="I75" s="3">
        <f t="shared" si="13"/>
        <v>1.7911630124575698E-2</v>
      </c>
      <c r="J75" s="3">
        <f t="shared" si="13"/>
        <v>4.0602322738898374E-3</v>
      </c>
      <c r="K75" s="3">
        <f t="shared" si="13"/>
        <v>-4.4801876926275228E-2</v>
      </c>
      <c r="L75" s="3">
        <f t="shared" si="13"/>
        <v>4.6013885327879289E-3</v>
      </c>
      <c r="M75" s="3">
        <f t="shared" si="12"/>
        <v>-1.1834320907802161E-3</v>
      </c>
      <c r="N75" s="3">
        <f t="shared" si="9"/>
        <v>-5.0216489054652645E-3</v>
      </c>
    </row>
    <row r="76" spans="1:14" x14ac:dyDescent="0.3">
      <c r="A76" s="2">
        <v>45924</v>
      </c>
      <c r="B76" s="3">
        <v>252.31</v>
      </c>
      <c r="C76" s="3">
        <v>176.97</v>
      </c>
      <c r="D76" s="3">
        <v>442.79</v>
      </c>
      <c r="E76" s="3">
        <v>49.87</v>
      </c>
      <c r="F76" s="3">
        <v>33.82</v>
      </c>
      <c r="G76" s="4">
        <v>6637.97</v>
      </c>
      <c r="I76" s="3">
        <f t="shared" si="13"/>
        <v>-8.367258825429779E-3</v>
      </c>
      <c r="J76" s="3">
        <f t="shared" si="13"/>
        <v>-8.2161407602438057E-3</v>
      </c>
      <c r="K76" s="3">
        <f t="shared" si="13"/>
        <v>3.9008445433210519E-2</v>
      </c>
      <c r="L76" s="3">
        <f t="shared" si="13"/>
        <v>1.9028914256999045E-2</v>
      </c>
      <c r="M76" s="3">
        <f t="shared" si="12"/>
        <v>-7.3648882024409642E-3</v>
      </c>
      <c r="N76" s="3">
        <f t="shared" si="9"/>
        <v>-2.8507212670841439E-3</v>
      </c>
    </row>
    <row r="77" spans="1:14" x14ac:dyDescent="0.3">
      <c r="A77" s="2">
        <v>45923</v>
      </c>
      <c r="B77" s="3">
        <v>254.43</v>
      </c>
      <c r="C77" s="3">
        <v>178.43</v>
      </c>
      <c r="D77" s="3">
        <v>425.85</v>
      </c>
      <c r="E77" s="3">
        <v>48.93</v>
      </c>
      <c r="F77" s="3">
        <v>34.07</v>
      </c>
      <c r="G77" s="4">
        <v>6656.92</v>
      </c>
      <c r="I77" s="3">
        <f t="shared" si="13"/>
        <v>-6.4641466198891257E-3</v>
      </c>
      <c r="J77" s="3">
        <f t="shared" si="13"/>
        <v>-2.8617575490758253E-2</v>
      </c>
      <c r="K77" s="3">
        <f t="shared" si="13"/>
        <v>-1.9441116453249467E-2</v>
      </c>
      <c r="L77" s="3">
        <f t="shared" si="13"/>
        <v>2.6088436084297874E-2</v>
      </c>
      <c r="M77" s="3">
        <f t="shared" si="12"/>
        <v>2.586735575043218E-2</v>
      </c>
      <c r="N77" s="3">
        <f t="shared" si="9"/>
        <v>-5.517340092831724E-3</v>
      </c>
    </row>
    <row r="78" spans="1:14" x14ac:dyDescent="0.3">
      <c r="A78" s="2">
        <v>45922</v>
      </c>
      <c r="B78" s="3">
        <v>256.08</v>
      </c>
      <c r="C78" s="3">
        <v>183.61</v>
      </c>
      <c r="D78" s="3">
        <v>434.21</v>
      </c>
      <c r="E78" s="3">
        <v>47.67</v>
      </c>
      <c r="F78" s="3">
        <v>33.200000000000003</v>
      </c>
      <c r="G78" s="4">
        <v>6693.75</v>
      </c>
      <c r="I78" s="3">
        <f t="shared" si="13"/>
        <v>4.2192948427032299E-2</v>
      </c>
      <c r="J78" s="3">
        <f t="shared" si="13"/>
        <v>3.8530357309506651E-2</v>
      </c>
      <c r="K78" s="3">
        <f t="shared" si="13"/>
        <v>1.8924636021071674E-2</v>
      </c>
      <c r="L78" s="3">
        <f t="shared" si="13"/>
        <v>6.9466651308964693E-3</v>
      </c>
      <c r="M78" s="3">
        <f t="shared" si="12"/>
        <v>6.6485587909902114E-3</v>
      </c>
      <c r="N78" s="3">
        <f t="shared" si="9"/>
        <v>4.4003301998515008E-3</v>
      </c>
    </row>
    <row r="79" spans="1:14" x14ac:dyDescent="0.3">
      <c r="A79" s="2">
        <v>45919</v>
      </c>
      <c r="B79" s="3">
        <v>245.5</v>
      </c>
      <c r="C79" s="3">
        <v>176.67</v>
      </c>
      <c r="D79" s="3">
        <v>426.07</v>
      </c>
      <c r="E79" s="3">
        <v>47.34</v>
      </c>
      <c r="F79" s="3">
        <v>32.979999999999997</v>
      </c>
      <c r="G79" s="4">
        <v>6664.36</v>
      </c>
      <c r="I79" s="3">
        <f t="shared" si="13"/>
        <v>3.1530602396182335E-2</v>
      </c>
      <c r="J79" s="3">
        <f t="shared" si="13"/>
        <v>2.4368831305012152E-3</v>
      </c>
      <c r="K79" s="3">
        <f t="shared" si="13"/>
        <v>2.1877207162645185E-2</v>
      </c>
      <c r="L79" s="3">
        <f t="shared" si="13"/>
        <v>1.2682309879951483E-3</v>
      </c>
      <c r="M79" s="3">
        <f t="shared" si="12"/>
        <v>-1.355238330055448E-2</v>
      </c>
      <c r="N79" s="3">
        <f t="shared" si="9"/>
        <v>4.87353856235327E-3</v>
      </c>
    </row>
    <row r="80" spans="1:14" x14ac:dyDescent="0.3">
      <c r="A80" s="2">
        <v>45918</v>
      </c>
      <c r="B80" s="3">
        <v>237.88</v>
      </c>
      <c r="C80" s="3">
        <v>176.24</v>
      </c>
      <c r="D80" s="3">
        <v>416.85</v>
      </c>
      <c r="E80" s="3">
        <v>47.28</v>
      </c>
      <c r="F80" s="3">
        <v>33.43</v>
      </c>
      <c r="G80" s="4">
        <v>6631.96</v>
      </c>
      <c r="I80" s="3">
        <f t="shared" si="13"/>
        <v>-4.6553652135744661E-3</v>
      </c>
      <c r="J80" s="3">
        <f t="shared" si="13"/>
        <v>3.4343836455574553E-2</v>
      </c>
      <c r="K80" s="3">
        <f t="shared" si="13"/>
        <v>-2.1384208901630078E-2</v>
      </c>
      <c r="L80" s="3">
        <f t="shared" si="13"/>
        <v>1.706526055418715E-2</v>
      </c>
      <c r="M80" s="3">
        <f t="shared" si="12"/>
        <v>1.9940237721283931E-2</v>
      </c>
      <c r="N80" s="3">
        <f t="shared" si="9"/>
        <v>4.7777085223636995E-3</v>
      </c>
    </row>
    <row r="81" spans="1:14" x14ac:dyDescent="0.3">
      <c r="A81" s="2">
        <v>45917</v>
      </c>
      <c r="B81" s="3">
        <v>238.99</v>
      </c>
      <c r="C81" s="3">
        <v>170.29</v>
      </c>
      <c r="D81" s="3">
        <v>425.86</v>
      </c>
      <c r="E81" s="3">
        <v>46.48</v>
      </c>
      <c r="F81" s="3">
        <v>32.770000000000003</v>
      </c>
      <c r="G81" s="4">
        <v>6600.35</v>
      </c>
      <c r="I81" s="3">
        <f t="shared" si="13"/>
        <v>3.5209828050978467E-3</v>
      </c>
      <c r="J81" s="3">
        <f t="shared" si="13"/>
        <v>-2.6597158389715183E-2</v>
      </c>
      <c r="K81" s="3">
        <f t="shared" si="13"/>
        <v>1.0006219326091236E-2</v>
      </c>
      <c r="L81" s="3">
        <f t="shared" si="13"/>
        <v>-1.6007171364369913E-2</v>
      </c>
      <c r="M81" s="3">
        <f t="shared" si="12"/>
        <v>9.1968765959688659E-3</v>
      </c>
      <c r="N81" s="3">
        <f t="shared" si="9"/>
        <v>-9.7068934889039981E-4</v>
      </c>
    </row>
    <row r="82" spans="1:14" x14ac:dyDescent="0.3">
      <c r="A82" s="2">
        <v>45916</v>
      </c>
      <c r="B82" s="3">
        <v>238.15</v>
      </c>
      <c r="C82" s="3">
        <v>174.88</v>
      </c>
      <c r="D82" s="3">
        <v>421.62</v>
      </c>
      <c r="E82" s="3">
        <v>47.23</v>
      </c>
      <c r="F82" s="3">
        <v>32.47</v>
      </c>
      <c r="G82" s="4">
        <v>6606.76</v>
      </c>
      <c r="I82" s="3">
        <f t="shared" si="13"/>
        <v>6.1072107269313034E-3</v>
      </c>
      <c r="J82" s="3">
        <f t="shared" si="13"/>
        <v>-1.6278044255121804E-2</v>
      </c>
      <c r="K82" s="3">
        <f t="shared" si="13"/>
        <v>2.7849718516960553E-2</v>
      </c>
      <c r="L82" s="3">
        <f t="shared" si="13"/>
        <v>2.0319381582549815E-2</v>
      </c>
      <c r="M82" s="3">
        <f t="shared" si="12"/>
        <v>-9.2350322093720841E-4</v>
      </c>
      <c r="N82" s="3">
        <f t="shared" si="9"/>
        <v>-1.2887574351968891E-3</v>
      </c>
    </row>
    <row r="83" spans="1:14" x14ac:dyDescent="0.3">
      <c r="A83" s="2">
        <v>45915</v>
      </c>
      <c r="B83" s="3">
        <v>236.7</v>
      </c>
      <c r="C83" s="3">
        <v>177.75</v>
      </c>
      <c r="D83" s="3">
        <v>410.04</v>
      </c>
      <c r="E83" s="3">
        <v>46.28</v>
      </c>
      <c r="F83" s="3">
        <v>32.5</v>
      </c>
      <c r="G83" s="4">
        <v>6615.28</v>
      </c>
      <c r="I83" s="3">
        <f t="shared" si="13"/>
        <v>1.1173300598125255E-2</v>
      </c>
      <c r="J83" s="3">
        <f t="shared" si="13"/>
        <v>-3.9373400964260857E-4</v>
      </c>
      <c r="K83" s="3">
        <f t="shared" si="13"/>
        <v>3.4992031291815613E-2</v>
      </c>
      <c r="L83" s="3">
        <f t="shared" si="13"/>
        <v>-4.527333377017554E-3</v>
      </c>
      <c r="M83" s="3">
        <f t="shared" si="12"/>
        <v>9.2350322093719432E-4</v>
      </c>
      <c r="N83" s="3">
        <f t="shared" si="12"/>
        <v>4.6956161361366338E-3</v>
      </c>
    </row>
    <row r="84" spans="1:14" x14ac:dyDescent="0.3">
      <c r="A84" s="2">
        <v>45912</v>
      </c>
      <c r="B84" s="3">
        <v>234.07</v>
      </c>
      <c r="C84" s="3">
        <v>177.82</v>
      </c>
      <c r="D84" s="3">
        <v>395.94</v>
      </c>
      <c r="E84" s="3">
        <v>46.49</v>
      </c>
      <c r="F84" s="3">
        <v>32.47</v>
      </c>
      <c r="G84" s="4">
        <v>6584.29</v>
      </c>
      <c r="I84" s="3">
        <f t="shared" si="13"/>
        <v>1.7410480721885509E-2</v>
      </c>
      <c r="J84" s="3">
        <f t="shared" si="13"/>
        <v>3.662079080646989E-3</v>
      </c>
      <c r="K84" s="3">
        <f t="shared" si="13"/>
        <v>7.0981078341088466E-2</v>
      </c>
      <c r="L84" s="3">
        <f t="shared" si="13"/>
        <v>-1.0271864336410289E-2</v>
      </c>
      <c r="M84" s="3">
        <f t="shared" si="12"/>
        <v>-1.1635158815865023E-2</v>
      </c>
      <c r="N84" s="3">
        <f t="shared" si="12"/>
        <v>-4.8285120011051867E-4</v>
      </c>
    </row>
    <row r="85" spans="1:14" x14ac:dyDescent="0.3">
      <c r="A85" s="2">
        <v>45911</v>
      </c>
      <c r="B85" s="3">
        <v>230.03</v>
      </c>
      <c r="C85" s="3">
        <v>177.17</v>
      </c>
      <c r="D85" s="3">
        <v>368.81</v>
      </c>
      <c r="E85" s="3">
        <v>46.97</v>
      </c>
      <c r="F85" s="3">
        <v>32.85</v>
      </c>
      <c r="G85" s="4">
        <v>6587.47</v>
      </c>
      <c r="I85" s="3">
        <f t="shared" si="13"/>
        <v>1.4185256029157005E-2</v>
      </c>
      <c r="J85" s="3">
        <f t="shared" si="13"/>
        <v>-9.0267989204194962E-4</v>
      </c>
      <c r="K85" s="3">
        <f t="shared" si="13"/>
        <v>5.8682756931876884E-2</v>
      </c>
      <c r="L85" s="3">
        <f t="shared" si="13"/>
        <v>1.0650762536288778E-3</v>
      </c>
      <c r="M85" s="3">
        <f t="shared" si="12"/>
        <v>2.465456156394058E-2</v>
      </c>
      <c r="N85" s="3">
        <f t="shared" si="12"/>
        <v>8.4500609892315826E-3</v>
      </c>
    </row>
    <row r="86" spans="1:14" x14ac:dyDescent="0.3">
      <c r="A86" s="2">
        <v>45910</v>
      </c>
      <c r="B86" s="3">
        <v>226.79</v>
      </c>
      <c r="C86" s="3">
        <v>177.33</v>
      </c>
      <c r="D86" s="3">
        <v>347.79</v>
      </c>
      <c r="E86" s="3">
        <v>46.92</v>
      </c>
      <c r="F86" s="3">
        <v>32.049999999999997</v>
      </c>
      <c r="G86" s="4">
        <v>6532.04</v>
      </c>
      <c r="I86" s="3">
        <f t="shared" si="13"/>
        <v>-3.2791245197944616E-2</v>
      </c>
      <c r="J86" s="3">
        <f t="shared" si="13"/>
        <v>3.7753341614626582E-2</v>
      </c>
      <c r="K86" s="3">
        <f t="shared" si="13"/>
        <v>2.3605284724501348E-3</v>
      </c>
      <c r="L86" s="3">
        <f t="shared" si="13"/>
        <v>3.183120316178676E-2</v>
      </c>
      <c r="M86" s="3">
        <f t="shared" si="12"/>
        <v>-4.6692691836837229E-3</v>
      </c>
      <c r="N86" s="3">
        <f t="shared" si="12"/>
        <v>2.9790012563325726E-3</v>
      </c>
    </row>
    <row r="87" spans="1:14" x14ac:dyDescent="0.3">
      <c r="A87" s="2">
        <v>45909</v>
      </c>
      <c r="B87" s="3">
        <v>234.35</v>
      </c>
      <c r="C87" s="3">
        <v>170.76</v>
      </c>
      <c r="D87" s="3">
        <v>346.97</v>
      </c>
      <c r="E87" s="3">
        <v>45.45</v>
      </c>
      <c r="F87" s="3">
        <v>32.200000000000003</v>
      </c>
      <c r="G87" s="4">
        <v>6512.61</v>
      </c>
      <c r="I87" s="3">
        <f t="shared" si="13"/>
        <v>-1.4950620469677826E-2</v>
      </c>
      <c r="J87" s="3">
        <f t="shared" si="13"/>
        <v>1.4451544751686397E-2</v>
      </c>
      <c r="K87" s="3">
        <f t="shared" si="13"/>
        <v>1.6441441896894679E-3</v>
      </c>
      <c r="L87" s="3">
        <f t="shared" si="13"/>
        <v>-4.171704370386946E-3</v>
      </c>
      <c r="M87" s="3">
        <f t="shared" si="12"/>
        <v>-7.1174677688638785E-3</v>
      </c>
      <c r="N87" s="3">
        <f t="shared" si="12"/>
        <v>2.6845529877440578E-3</v>
      </c>
    </row>
    <row r="88" spans="1:14" x14ac:dyDescent="0.3">
      <c r="A88" s="2">
        <v>45908</v>
      </c>
      <c r="B88" s="3">
        <v>237.88</v>
      </c>
      <c r="C88" s="3">
        <v>168.31</v>
      </c>
      <c r="D88" s="3">
        <v>346.4</v>
      </c>
      <c r="E88" s="3">
        <v>45.64</v>
      </c>
      <c r="F88" s="3">
        <v>32.43</v>
      </c>
      <c r="G88" s="4">
        <v>6495.15</v>
      </c>
      <c r="I88" s="3">
        <f t="shared" si="13"/>
        <v>-7.5800769165061304E-3</v>
      </c>
      <c r="J88" s="3">
        <f t="shared" si="13"/>
        <v>7.6939514129913816E-3</v>
      </c>
      <c r="K88" s="3">
        <f t="shared" si="13"/>
        <v>-1.2736102394900752E-2</v>
      </c>
      <c r="L88" s="3">
        <f t="shared" si="13"/>
        <v>1.3155011763367269E-3</v>
      </c>
      <c r="M88" s="3">
        <f t="shared" si="12"/>
        <v>-3.0788201660334807E-3</v>
      </c>
      <c r="N88" s="3">
        <f t="shared" si="12"/>
        <v>2.1037794861457856E-3</v>
      </c>
    </row>
    <row r="89" spans="1:14" x14ac:dyDescent="0.3">
      <c r="A89" s="2">
        <v>45905</v>
      </c>
      <c r="B89" s="3">
        <v>239.69</v>
      </c>
      <c r="C89" s="3">
        <v>167.02</v>
      </c>
      <c r="D89" s="3">
        <v>350.84</v>
      </c>
      <c r="E89" s="3">
        <v>45.58</v>
      </c>
      <c r="F89" s="3">
        <v>32.53</v>
      </c>
      <c r="G89" s="4">
        <v>6481.5</v>
      </c>
      <c r="I89" s="3">
        <f t="shared" si="13"/>
        <v>-3.7541452460853166E-4</v>
      </c>
      <c r="J89" s="3">
        <f t="shared" si="13"/>
        <v>-2.7402210564990471E-2</v>
      </c>
      <c r="K89" s="3">
        <f t="shared" si="13"/>
        <v>3.5717564365462209E-2</v>
      </c>
      <c r="L89" s="3">
        <f t="shared" si="13"/>
        <v>-1.6104809447201624E-2</v>
      </c>
      <c r="M89" s="3">
        <f t="shared" si="12"/>
        <v>-3.9883470570587767E-3</v>
      </c>
      <c r="N89" s="3">
        <f t="shared" si="12"/>
        <v>-3.1701606545509482E-3</v>
      </c>
    </row>
    <row r="90" spans="1:14" x14ac:dyDescent="0.3">
      <c r="A90" s="2">
        <v>45904</v>
      </c>
      <c r="B90" s="3">
        <v>239.78</v>
      </c>
      <c r="C90" s="3">
        <v>171.66</v>
      </c>
      <c r="D90" s="3">
        <v>338.53</v>
      </c>
      <c r="E90" s="3">
        <v>46.32</v>
      </c>
      <c r="F90" s="3">
        <v>32.659999999999997</v>
      </c>
      <c r="G90" s="4">
        <v>6502.08</v>
      </c>
      <c r="I90" s="3">
        <f t="shared" si="13"/>
        <v>5.4783200263767082E-3</v>
      </c>
      <c r="J90" s="3">
        <f t="shared" si="13"/>
        <v>6.0769148095251137E-3</v>
      </c>
      <c r="K90" s="3">
        <f t="shared" si="13"/>
        <v>1.3202296961289547E-2</v>
      </c>
      <c r="L90" s="3">
        <f t="shared" si="13"/>
        <v>2.8911343494420143E-2</v>
      </c>
      <c r="M90" s="3">
        <f t="shared" si="12"/>
        <v>1.1703244140570841E-2</v>
      </c>
      <c r="N90" s="3">
        <f t="shared" si="12"/>
        <v>8.3117987404724356E-3</v>
      </c>
    </row>
    <row r="91" spans="1:14" x14ac:dyDescent="0.3">
      <c r="A91" s="2">
        <v>45903</v>
      </c>
      <c r="B91" s="3">
        <v>238.47</v>
      </c>
      <c r="C91" s="3">
        <v>170.62</v>
      </c>
      <c r="D91" s="3">
        <v>334.09</v>
      </c>
      <c r="E91" s="3">
        <v>45</v>
      </c>
      <c r="F91" s="3">
        <v>32.28</v>
      </c>
      <c r="G91" s="4">
        <v>6448.26</v>
      </c>
      <c r="I91" s="3">
        <f t="shared" si="13"/>
        <v>3.738234025703522E-2</v>
      </c>
      <c r="J91" s="3">
        <f t="shared" si="13"/>
        <v>-9.3731699891133852E-4</v>
      </c>
      <c r="K91" s="3">
        <f t="shared" si="13"/>
        <v>1.4259040294779576E-2</v>
      </c>
      <c r="L91" s="3">
        <f t="shared" si="13"/>
        <v>-7.9681696491768449E-3</v>
      </c>
      <c r="M91" s="3">
        <f t="shared" si="12"/>
        <v>2.7919980910313547E-3</v>
      </c>
      <c r="N91" s="3">
        <f t="shared" si="12"/>
        <v>5.0871547386880968E-3</v>
      </c>
    </row>
    <row r="92" spans="1:14" x14ac:dyDescent="0.3">
      <c r="A92" s="2">
        <v>45902</v>
      </c>
      <c r="B92" s="3">
        <v>229.72</v>
      </c>
      <c r="C92" s="3">
        <v>170.78</v>
      </c>
      <c r="D92" s="3">
        <v>329.36</v>
      </c>
      <c r="E92" s="3">
        <v>45.36</v>
      </c>
      <c r="F92" s="3">
        <v>32.19</v>
      </c>
      <c r="G92" s="4">
        <v>6415.54</v>
      </c>
      <c r="I92" s="3">
        <f t="shared" si="13"/>
        <v>-1.0479461944380755E-2</v>
      </c>
      <c r="J92" s="3">
        <f t="shared" si="13"/>
        <v>-1.9713068785133448E-2</v>
      </c>
      <c r="K92" s="3">
        <f t="shared" si="13"/>
        <v>-1.3600318191794164E-2</v>
      </c>
      <c r="L92" s="3">
        <f t="shared" si="13"/>
        <v>-8.8144562780565416E-4</v>
      </c>
      <c r="M92" s="3">
        <f t="shared" si="12"/>
        <v>-9.8918890050971424E-3</v>
      </c>
      <c r="N92" s="3">
        <f t="shared" si="12"/>
        <v>-6.9463924292620972E-3</v>
      </c>
    </row>
    <row r="93" spans="1:14" x14ac:dyDescent="0.3">
      <c r="A93" s="2">
        <v>45898</v>
      </c>
      <c r="B93" s="3">
        <v>232.14</v>
      </c>
      <c r="C93" s="3">
        <v>174.18</v>
      </c>
      <c r="D93" s="3">
        <v>333.87</v>
      </c>
      <c r="E93" s="3">
        <v>45.4</v>
      </c>
      <c r="F93" s="3">
        <v>32.51</v>
      </c>
      <c r="G93" s="4">
        <v>6460.26</v>
      </c>
      <c r="I93" s="3">
        <f t="shared" si="13"/>
        <v>-1.8076183101439452E-3</v>
      </c>
      <c r="J93" s="3">
        <f t="shared" si="13"/>
        <v>-3.3811602363015204E-2</v>
      </c>
      <c r="K93" s="3">
        <f t="shared" si="13"/>
        <v>-3.5629274265387964E-2</v>
      </c>
      <c r="L93" s="3">
        <f t="shared" si="13"/>
        <v>-3.5180335316791727E-3</v>
      </c>
      <c r="M93" s="3">
        <f t="shared" si="12"/>
        <v>-4.6033532265050163E-3</v>
      </c>
      <c r="N93" s="3">
        <f t="shared" si="12"/>
        <v>-6.4187251509291582E-3</v>
      </c>
    </row>
    <row r="94" spans="1:14" x14ac:dyDescent="0.3">
      <c r="A94" s="2">
        <v>45897</v>
      </c>
      <c r="B94" s="3">
        <v>232.56</v>
      </c>
      <c r="C94" s="3">
        <v>180.17</v>
      </c>
      <c r="D94" s="3">
        <v>345.98</v>
      </c>
      <c r="E94" s="3">
        <v>45.56</v>
      </c>
      <c r="F94" s="3">
        <v>32.659999999999997</v>
      </c>
      <c r="G94" s="4">
        <v>6501.86</v>
      </c>
      <c r="I94" s="3">
        <f t="shared" si="13"/>
        <v>8.9407787029671757E-3</v>
      </c>
      <c r="J94" s="3">
        <f t="shared" si="13"/>
        <v>-7.9056165395841975E-3</v>
      </c>
      <c r="K94" s="3">
        <f t="shared" si="13"/>
        <v>-1.0408673862549105E-2</v>
      </c>
      <c r="L94" s="3">
        <f t="shared" si="13"/>
        <v>1.7268527408372723E-2</v>
      </c>
      <c r="M94" s="3">
        <f t="shared" si="12"/>
        <v>3.6809857514272931E-3</v>
      </c>
      <c r="N94" s="3">
        <f t="shared" si="12"/>
        <v>3.1517534019497762E-3</v>
      </c>
    </row>
    <row r="95" spans="1:14" x14ac:dyDescent="0.3">
      <c r="A95" s="2">
        <v>45896</v>
      </c>
      <c r="B95" s="3">
        <v>230.49</v>
      </c>
      <c r="C95" s="3">
        <v>181.6</v>
      </c>
      <c r="D95" s="3">
        <v>349.6</v>
      </c>
      <c r="E95" s="3">
        <v>44.78</v>
      </c>
      <c r="F95" s="3">
        <v>32.54</v>
      </c>
      <c r="G95" s="4">
        <v>6481.4</v>
      </c>
      <c r="I95" s="3">
        <f t="shared" si="13"/>
        <v>5.1326776447566114E-3</v>
      </c>
      <c r="J95" s="3">
        <f t="shared" si="13"/>
        <v>-9.3568545781456578E-4</v>
      </c>
      <c r="K95" s="3">
        <f t="shared" si="13"/>
        <v>-5.9035920887402123E-3</v>
      </c>
      <c r="L95" s="3">
        <f t="shared" si="13"/>
        <v>7.396649210695095E-3</v>
      </c>
      <c r="M95" s="3">
        <f t="shared" si="12"/>
        <v>4.0030846374357679E-3</v>
      </c>
      <c r="N95" s="3">
        <f t="shared" si="12"/>
        <v>2.3881364585491512E-3</v>
      </c>
    </row>
    <row r="96" spans="1:14" x14ac:dyDescent="0.3">
      <c r="A96" s="2">
        <v>45895</v>
      </c>
      <c r="B96" s="3">
        <v>229.31</v>
      </c>
      <c r="C96" s="3">
        <v>181.77</v>
      </c>
      <c r="D96" s="3">
        <v>351.67</v>
      </c>
      <c r="E96" s="3">
        <v>44.45</v>
      </c>
      <c r="F96" s="3">
        <v>32.409999999999997</v>
      </c>
      <c r="G96" s="4">
        <v>6465.94</v>
      </c>
      <c r="I96" s="3">
        <f t="shared" si="13"/>
        <v>9.4201848936647913E-3</v>
      </c>
      <c r="J96" s="3">
        <f t="shared" si="13"/>
        <v>1.0841413781461152E-2</v>
      </c>
      <c r="K96" s="3">
        <f t="shared" si="13"/>
        <v>1.4521858588614886E-2</v>
      </c>
      <c r="L96" s="3">
        <f t="shared" si="13"/>
        <v>4.5004501209658127E-4</v>
      </c>
      <c r="M96" s="3">
        <f t="shared" si="12"/>
        <v>-1.2266329819554436E-2</v>
      </c>
      <c r="N96" s="3">
        <f t="shared" si="12"/>
        <v>4.1254554739158684E-3</v>
      </c>
    </row>
    <row r="97" spans="1:14" x14ac:dyDescent="0.3">
      <c r="A97" s="2">
        <v>45894</v>
      </c>
      <c r="B97" s="3">
        <v>227.16</v>
      </c>
      <c r="C97" s="3">
        <v>179.81</v>
      </c>
      <c r="D97" s="3">
        <v>346.6</v>
      </c>
      <c r="E97" s="3">
        <v>44.43</v>
      </c>
      <c r="F97" s="3">
        <v>32.81</v>
      </c>
      <c r="G97" s="4">
        <v>6439.32</v>
      </c>
      <c r="I97" s="3">
        <f t="shared" si="13"/>
        <v>-2.6378279605502935E-3</v>
      </c>
      <c r="J97" s="3">
        <f t="shared" si="13"/>
        <v>1.0173368904884798E-2</v>
      </c>
      <c r="K97" s="3">
        <f t="shared" si="13"/>
        <v>1.9196348339110249E-2</v>
      </c>
      <c r="L97" s="3">
        <f t="shared" si="13"/>
        <v>-7.3999664959073265E-3</v>
      </c>
      <c r="M97" s="3">
        <f t="shared" si="12"/>
        <v>-5.2542133282134064E-2</v>
      </c>
      <c r="N97" s="3">
        <f t="shared" si="12"/>
        <v>-4.2754610800767165E-3</v>
      </c>
    </row>
    <row r="98" spans="1:14" x14ac:dyDescent="0.3">
      <c r="A98" s="2">
        <v>45891</v>
      </c>
      <c r="B98" s="3">
        <v>227.76</v>
      </c>
      <c r="C98" s="3">
        <v>177.99</v>
      </c>
      <c r="D98" s="3">
        <v>340.01</v>
      </c>
      <c r="E98" s="3">
        <v>44.76</v>
      </c>
      <c r="F98" s="3">
        <v>34.58</v>
      </c>
      <c r="G98" s="4">
        <v>6466.91</v>
      </c>
      <c r="I98" s="3">
        <f t="shared" si="13"/>
        <v>1.2636584004512057E-2</v>
      </c>
      <c r="J98" s="3">
        <f t="shared" si="13"/>
        <v>1.7055687260543243E-2</v>
      </c>
      <c r="K98" s="3">
        <f t="shared" si="13"/>
        <v>6.0310342217118333E-2</v>
      </c>
      <c r="L98" s="3">
        <f t="shared" si="13"/>
        <v>2.9473908615440733E-2</v>
      </c>
      <c r="M98" s="3">
        <f t="shared" si="12"/>
        <v>-3.6625811289046732E-2</v>
      </c>
      <c r="N98" s="3">
        <f t="shared" si="12"/>
        <v>1.5072248733123567E-2</v>
      </c>
    </row>
    <row r="99" spans="1:14" x14ac:dyDescent="0.3">
      <c r="A99" s="2">
        <v>45890</v>
      </c>
      <c r="B99" s="3">
        <v>224.9</v>
      </c>
      <c r="C99" s="3">
        <v>174.98</v>
      </c>
      <c r="D99" s="3">
        <v>320.11</v>
      </c>
      <c r="E99" s="3">
        <v>43.46</v>
      </c>
      <c r="F99" s="3">
        <v>35.869999999999997</v>
      </c>
      <c r="G99" s="4">
        <v>6370.17</v>
      </c>
      <c r="I99" s="3">
        <f t="shared" si="13"/>
        <v>-4.9233871157219602E-3</v>
      </c>
      <c r="J99" s="3">
        <f t="shared" si="13"/>
        <v>-2.3973982599642223E-3</v>
      </c>
      <c r="K99" s="3">
        <f t="shared" si="13"/>
        <v>-1.1770139452006403E-2</v>
      </c>
      <c r="L99" s="3">
        <f t="shared" si="13"/>
        <v>1.4135329784494834E-2</v>
      </c>
      <c r="M99" s="3">
        <f t="shared" si="12"/>
        <v>-3.3398305467482988E-3</v>
      </c>
      <c r="N99" s="3">
        <f t="shared" si="12"/>
        <v>-4.0122410562429415E-3</v>
      </c>
    </row>
    <row r="100" spans="1:14" x14ac:dyDescent="0.3">
      <c r="A100" s="2">
        <v>45889</v>
      </c>
      <c r="B100" s="3">
        <v>226.01</v>
      </c>
      <c r="C100" s="3">
        <v>175.4</v>
      </c>
      <c r="D100" s="3">
        <v>323.89999999999998</v>
      </c>
      <c r="E100" s="3">
        <v>42.85</v>
      </c>
      <c r="F100" s="3">
        <v>35.99</v>
      </c>
      <c r="G100" s="4">
        <v>6395.78</v>
      </c>
      <c r="I100" s="3">
        <f t="shared" si="13"/>
        <v>-1.9931886170219938E-2</v>
      </c>
      <c r="J100" s="3">
        <f t="shared" si="13"/>
        <v>-1.3673657554339415E-3</v>
      </c>
      <c r="K100" s="3">
        <f t="shared" si="13"/>
        <v>-1.6564730190051315E-2</v>
      </c>
      <c r="L100" s="3">
        <f t="shared" si="13"/>
        <v>-2.3310033864755897E-3</v>
      </c>
      <c r="M100" s="3">
        <f t="shared" si="12"/>
        <v>-1.4618933635828448E-2</v>
      </c>
      <c r="N100" s="3">
        <f t="shared" si="12"/>
        <v>-2.4345787627045859E-3</v>
      </c>
    </row>
    <row r="101" spans="1:14" x14ac:dyDescent="0.3">
      <c r="A101" s="2">
        <v>45888</v>
      </c>
      <c r="B101" s="3">
        <v>230.56</v>
      </c>
      <c r="C101" s="3">
        <v>175.64</v>
      </c>
      <c r="D101" s="3">
        <v>329.31</v>
      </c>
      <c r="E101" s="3">
        <v>42.95</v>
      </c>
      <c r="F101" s="3">
        <v>36.520000000000003</v>
      </c>
      <c r="G101" s="4">
        <v>6411.37</v>
      </c>
      <c r="I101" s="3">
        <f t="shared" si="13"/>
        <v>-1.430274379700124E-3</v>
      </c>
      <c r="J101" s="3">
        <f t="shared" si="13"/>
        <v>-3.5625184928799479E-2</v>
      </c>
      <c r="K101" s="3">
        <f t="shared" si="13"/>
        <v>-1.7608473377750986E-2</v>
      </c>
      <c r="L101" s="3">
        <f t="shared" si="13"/>
        <v>1.864367820378776E-3</v>
      </c>
      <c r="M101" s="3">
        <f t="shared" si="12"/>
        <v>1.4618933635828373E-2</v>
      </c>
      <c r="N101" s="3">
        <f t="shared" si="12"/>
        <v>-5.8753625327812135E-3</v>
      </c>
    </row>
    <row r="102" spans="1:14" x14ac:dyDescent="0.3">
      <c r="A102" s="2">
        <v>45887</v>
      </c>
      <c r="B102" s="3">
        <v>230.89</v>
      </c>
      <c r="C102" s="3">
        <v>182.01</v>
      </c>
      <c r="D102" s="3">
        <v>335.16</v>
      </c>
      <c r="E102" s="3">
        <v>42.87</v>
      </c>
      <c r="F102" s="3">
        <v>35.99</v>
      </c>
      <c r="G102" s="4">
        <v>6449.15</v>
      </c>
      <c r="I102" s="3">
        <f t="shared" si="13"/>
        <v>-3.0271602428172274E-3</v>
      </c>
      <c r="J102" s="3">
        <f t="shared" si="13"/>
        <v>8.6078995335185544E-3</v>
      </c>
      <c r="K102" s="3">
        <f t="shared" si="13"/>
        <v>1.3819843813812054E-2</v>
      </c>
      <c r="L102" s="3">
        <f t="shared" si="13"/>
        <v>1.6341780221346967E-3</v>
      </c>
      <c r="M102" s="3">
        <f t="shared" si="12"/>
        <v>-9.1274316421531589E-3</v>
      </c>
      <c r="N102" s="3">
        <f t="shared" si="12"/>
        <v>-1.0078339718365875E-4</v>
      </c>
    </row>
    <row r="103" spans="1:14" x14ac:dyDescent="0.3">
      <c r="A103" s="2">
        <v>45884</v>
      </c>
      <c r="B103" s="3">
        <v>231.59</v>
      </c>
      <c r="C103" s="3">
        <v>180.45</v>
      </c>
      <c r="D103" s="3">
        <v>330.56</v>
      </c>
      <c r="E103" s="3">
        <v>42.8</v>
      </c>
      <c r="F103" s="3">
        <v>36.32</v>
      </c>
      <c r="G103" s="4">
        <v>6449.8</v>
      </c>
      <c r="I103" s="3">
        <f t="shared" si="13"/>
        <v>-5.1252346401009499E-3</v>
      </c>
      <c r="J103" s="3">
        <f t="shared" si="13"/>
        <v>-8.6628400604121924E-3</v>
      </c>
      <c r="K103" s="3">
        <f t="shared" si="13"/>
        <v>-1.5072192130277872E-2</v>
      </c>
      <c r="L103" s="3">
        <f t="shared" si="13"/>
        <v>-1.045913079013727E-2</v>
      </c>
      <c r="M103" s="3">
        <f t="shared" si="12"/>
        <v>-8.2565024643587034E-4</v>
      </c>
      <c r="N103" s="3">
        <f t="shared" si="12"/>
        <v>-2.9013035955741404E-3</v>
      </c>
    </row>
    <row r="104" spans="1:14" x14ac:dyDescent="0.3">
      <c r="A104" s="2">
        <v>45883</v>
      </c>
      <c r="B104" s="3">
        <v>232.78</v>
      </c>
      <c r="C104" s="3">
        <v>182.02</v>
      </c>
      <c r="D104" s="3">
        <v>335.58</v>
      </c>
      <c r="E104" s="3">
        <v>43.25</v>
      </c>
      <c r="F104" s="3">
        <v>36.35</v>
      </c>
      <c r="G104" s="4">
        <v>6468.54</v>
      </c>
      <c r="I104" s="3">
        <f t="shared" si="13"/>
        <v>-2.3599590451372499E-3</v>
      </c>
      <c r="J104" s="3">
        <f t="shared" si="13"/>
        <v>2.3651725775040732E-3</v>
      </c>
      <c r="K104" s="3">
        <f t="shared" si="13"/>
        <v>-1.1260045483128454E-2</v>
      </c>
      <c r="L104" s="3">
        <f t="shared" si="13"/>
        <v>9.2915883340994182E-3</v>
      </c>
      <c r="M104" s="3">
        <f t="shared" si="12"/>
        <v>7.4555087851055409E-3</v>
      </c>
      <c r="N104" s="3">
        <f t="shared" si="12"/>
        <v>3.0305092105848265E-4</v>
      </c>
    </row>
    <row r="105" spans="1:14" x14ac:dyDescent="0.3">
      <c r="A105" s="2">
        <v>45882</v>
      </c>
      <c r="B105" s="3">
        <v>233.33</v>
      </c>
      <c r="C105" s="3">
        <v>181.59</v>
      </c>
      <c r="D105" s="3">
        <v>339.38</v>
      </c>
      <c r="E105" s="3">
        <v>42.85</v>
      </c>
      <c r="F105" s="3">
        <v>36.08</v>
      </c>
      <c r="G105" s="4">
        <v>6466.58</v>
      </c>
      <c r="I105" s="3">
        <f t="shared" si="13"/>
        <v>1.5897349787165019E-2</v>
      </c>
      <c r="J105" s="3">
        <f t="shared" si="13"/>
        <v>-8.6086892171890975E-3</v>
      </c>
      <c r="K105" s="3">
        <f t="shared" si="13"/>
        <v>-4.2927354150751095E-3</v>
      </c>
      <c r="L105" s="3">
        <f t="shared" si="13"/>
        <v>7.9663026730902205E-3</v>
      </c>
      <c r="M105" s="3">
        <f t="shared" si="12"/>
        <v>7.2322985618571587E-3</v>
      </c>
      <c r="N105" s="3">
        <f t="shared" si="12"/>
        <v>3.2248249415864237E-3</v>
      </c>
    </row>
    <row r="106" spans="1:14" x14ac:dyDescent="0.3">
      <c r="A106" s="2">
        <v>45881</v>
      </c>
      <c r="B106" s="3">
        <v>229.65</v>
      </c>
      <c r="C106" s="3">
        <v>183.16</v>
      </c>
      <c r="D106" s="3">
        <v>340.84</v>
      </c>
      <c r="E106" s="3">
        <v>42.51</v>
      </c>
      <c r="F106" s="3">
        <v>35.82</v>
      </c>
      <c r="G106" s="4">
        <v>6445.76</v>
      </c>
      <c r="I106" s="3">
        <f t="shared" si="13"/>
        <v>1.0813755968526953E-2</v>
      </c>
      <c r="J106" s="3">
        <f t="shared" si="13"/>
        <v>6.0237847117518917E-3</v>
      </c>
      <c r="K106" s="3">
        <f t="shared" si="13"/>
        <v>5.324559919586188E-3</v>
      </c>
      <c r="L106" s="3">
        <f t="shared" si="13"/>
        <v>-4.459577863880182E-3</v>
      </c>
      <c r="M106" s="3">
        <f t="shared" si="12"/>
        <v>1.6608404279419529E-2</v>
      </c>
      <c r="N106" s="3">
        <f t="shared" si="12"/>
        <v>1.1281626080988628E-2</v>
      </c>
    </row>
    <row r="107" spans="1:14" x14ac:dyDescent="0.3">
      <c r="A107" s="2">
        <v>45880</v>
      </c>
      <c r="B107" s="3">
        <v>227.18</v>
      </c>
      <c r="C107" s="3">
        <v>182.06</v>
      </c>
      <c r="D107" s="3">
        <v>339.03</v>
      </c>
      <c r="E107" s="3">
        <v>42.7</v>
      </c>
      <c r="F107" s="3">
        <v>35.229999999999997</v>
      </c>
      <c r="G107" s="4">
        <v>6373.45</v>
      </c>
      <c r="I107" s="3">
        <f t="shared" si="13"/>
        <v>-9.506566239905357E-3</v>
      </c>
      <c r="J107" s="3">
        <f t="shared" si="13"/>
        <v>-3.5091603068182001E-3</v>
      </c>
      <c r="K107" s="3">
        <f t="shared" si="13"/>
        <v>2.8057113480860443E-2</v>
      </c>
      <c r="L107" s="3">
        <f t="shared" si="13"/>
        <v>-1.3722741219310282E-2</v>
      </c>
      <c r="M107" s="3">
        <f t="shared" si="12"/>
        <v>-5.6609265242344581E-3</v>
      </c>
      <c r="N107" s="3">
        <f t="shared" si="12"/>
        <v>-2.5072684706233723E-3</v>
      </c>
    </row>
    <row r="108" spans="1:14" x14ac:dyDescent="0.3">
      <c r="A108" s="2">
        <v>45877</v>
      </c>
      <c r="B108" s="3">
        <v>229.35</v>
      </c>
      <c r="C108" s="3">
        <v>182.7</v>
      </c>
      <c r="D108" s="3">
        <v>329.65</v>
      </c>
      <c r="E108" s="3">
        <v>43.29</v>
      </c>
      <c r="F108" s="3">
        <v>35.43</v>
      </c>
      <c r="G108" s="4">
        <v>6389.45</v>
      </c>
      <c r="I108" s="3">
        <f t="shared" si="13"/>
        <v>4.1485320351131408E-2</v>
      </c>
      <c r="J108" s="3">
        <f t="shared" si="13"/>
        <v>1.0619958397197829E-2</v>
      </c>
      <c r="K108" s="3">
        <f t="shared" si="13"/>
        <v>2.264178205067275E-2</v>
      </c>
      <c r="L108" s="3">
        <f t="shared" si="13"/>
        <v>8.1178690032543601E-3</v>
      </c>
      <c r="M108" s="3">
        <f t="shared" si="12"/>
        <v>5.0933896191030208E-3</v>
      </c>
      <c r="N108" s="3">
        <f t="shared" si="12"/>
        <v>7.7694242484223387E-3</v>
      </c>
    </row>
    <row r="109" spans="1:14" x14ac:dyDescent="0.3">
      <c r="A109" s="2">
        <v>45876</v>
      </c>
      <c r="B109" s="3">
        <v>220.03</v>
      </c>
      <c r="C109" s="3">
        <v>180.77</v>
      </c>
      <c r="D109" s="3">
        <v>322.27</v>
      </c>
      <c r="E109" s="3">
        <v>42.94</v>
      </c>
      <c r="F109" s="3">
        <v>35.25</v>
      </c>
      <c r="G109" s="4">
        <v>6340</v>
      </c>
      <c r="I109" s="3">
        <f t="shared" si="13"/>
        <v>3.1298714320261108E-2</v>
      </c>
      <c r="J109" s="3">
        <f t="shared" si="13"/>
        <v>7.4960788556257376E-3</v>
      </c>
      <c r="K109" s="3">
        <f t="shared" si="13"/>
        <v>7.3499972730621923E-3</v>
      </c>
      <c r="L109" s="3">
        <f t="shared" si="13"/>
        <v>-1.1346654096095622E-2</v>
      </c>
      <c r="M109" s="3">
        <f t="shared" si="12"/>
        <v>-2.1331148402506193E-2</v>
      </c>
      <c r="N109" s="3">
        <f t="shared" si="12"/>
        <v>-7.9778893728174702E-4</v>
      </c>
    </row>
    <row r="110" spans="1:14" x14ac:dyDescent="0.3">
      <c r="A110" s="2">
        <v>45875</v>
      </c>
      <c r="B110" s="3">
        <v>213.25</v>
      </c>
      <c r="C110" s="3">
        <v>179.42</v>
      </c>
      <c r="D110" s="3">
        <v>319.91000000000003</v>
      </c>
      <c r="E110" s="3">
        <v>43.43</v>
      </c>
      <c r="F110" s="3">
        <v>36.01</v>
      </c>
      <c r="G110" s="4">
        <v>6345.06</v>
      </c>
      <c r="I110" s="3">
        <f t="shared" si="13"/>
        <v>4.9653373673299327E-2</v>
      </c>
      <c r="J110" s="3">
        <f t="shared" si="13"/>
        <v>6.4862674285661491E-3</v>
      </c>
      <c r="K110" s="3">
        <f t="shared" si="13"/>
        <v>3.5604989006210411E-2</v>
      </c>
      <c r="L110" s="3">
        <f t="shared" si="13"/>
        <v>-8.9398876205899376E-3</v>
      </c>
      <c r="M110" s="3">
        <f t="shared" si="12"/>
        <v>1.0047530800478903E-2</v>
      </c>
      <c r="N110" s="3">
        <f t="shared" si="12"/>
        <v>7.255503683515384E-3</v>
      </c>
    </row>
    <row r="111" spans="1:14" x14ac:dyDescent="0.3">
      <c r="A111" s="2">
        <v>45874</v>
      </c>
      <c r="B111" s="3">
        <v>202.92</v>
      </c>
      <c r="C111" s="3">
        <v>178.26</v>
      </c>
      <c r="D111" s="3">
        <v>308.72000000000003</v>
      </c>
      <c r="E111" s="3">
        <v>43.82</v>
      </c>
      <c r="F111" s="3">
        <v>35.65</v>
      </c>
      <c r="G111" s="4">
        <v>6299.19</v>
      </c>
      <c r="I111" s="3">
        <f t="shared" si="13"/>
        <v>-2.1168196547443788E-3</v>
      </c>
      <c r="J111" s="3">
        <f t="shared" si="13"/>
        <v>-9.7136921876391485E-3</v>
      </c>
      <c r="K111" s="3">
        <f t="shared" si="13"/>
        <v>-1.7476298179210416E-3</v>
      </c>
      <c r="L111" s="3">
        <f t="shared" si="13"/>
        <v>1.5987213636970735E-3</v>
      </c>
      <c r="M111" s="3">
        <f t="shared" si="12"/>
        <v>5.3438462142430488E-3</v>
      </c>
      <c r="N111" s="3">
        <f t="shared" si="12"/>
        <v>-4.8697037352752534E-3</v>
      </c>
    </row>
    <row r="112" spans="1:14" x14ac:dyDescent="0.3">
      <c r="A112" s="2">
        <v>45873</v>
      </c>
      <c r="B112" s="3">
        <v>203.35</v>
      </c>
      <c r="C112" s="3">
        <v>180</v>
      </c>
      <c r="D112" s="3">
        <v>309.26</v>
      </c>
      <c r="E112" s="3">
        <v>43.75</v>
      </c>
      <c r="F112" s="3">
        <v>35.46</v>
      </c>
      <c r="G112" s="4">
        <v>6329.94</v>
      </c>
      <c r="I112" s="3">
        <f t="shared" si="13"/>
        <v>4.7815140516196241E-3</v>
      </c>
      <c r="J112" s="3">
        <f t="shared" si="13"/>
        <v>3.5512043223589265E-2</v>
      </c>
      <c r="K112" s="3">
        <f t="shared" si="13"/>
        <v>2.1671409827243679E-2</v>
      </c>
      <c r="L112" s="3">
        <f t="shared" si="13"/>
        <v>5.5008160710348008E-3</v>
      </c>
      <c r="M112" s="3">
        <f t="shared" si="12"/>
        <v>1.2771565679487539E-2</v>
      </c>
      <c r="N112" s="3">
        <f t="shared" si="12"/>
        <v>1.4629536175939909E-2</v>
      </c>
    </row>
    <row r="113" spans="1:14" x14ac:dyDescent="0.3">
      <c r="A113" s="2">
        <v>45870</v>
      </c>
      <c r="B113" s="3">
        <v>202.38</v>
      </c>
      <c r="C113" s="3">
        <v>173.72</v>
      </c>
      <c r="D113" s="3">
        <v>302.63</v>
      </c>
      <c r="E113" s="3">
        <v>43.51</v>
      </c>
      <c r="F113" s="3">
        <v>35.01</v>
      </c>
      <c r="G113" s="4">
        <v>6238.01</v>
      </c>
      <c r="I113" s="3">
        <f t="shared" si="13"/>
        <v>-2.5321513877215478E-2</v>
      </c>
      <c r="J113" s="3">
        <f t="shared" si="13"/>
        <v>-2.3608138720764962E-2</v>
      </c>
      <c r="K113" s="3">
        <f t="shared" si="13"/>
        <v>-1.8465085120289874E-2</v>
      </c>
      <c r="L113" s="3">
        <f t="shared" si="13"/>
        <v>-3.4782187321758154E-2</v>
      </c>
      <c r="M113" s="3">
        <f t="shared" si="12"/>
        <v>-1.5025087759931003E-2</v>
      </c>
      <c r="N113" s="3">
        <f t="shared" si="12"/>
        <v>-1.6121328046944453E-2</v>
      </c>
    </row>
    <row r="114" spans="1:14" x14ac:dyDescent="0.3">
      <c r="A114" s="2">
        <v>45869</v>
      </c>
      <c r="B114" s="3">
        <v>207.57</v>
      </c>
      <c r="C114" s="3">
        <v>177.87</v>
      </c>
      <c r="D114" s="3">
        <v>308.27</v>
      </c>
      <c r="E114" s="3">
        <v>45.05</v>
      </c>
      <c r="F114" s="3">
        <v>35.54</v>
      </c>
      <c r="G114" s="4">
        <v>6339.39</v>
      </c>
      <c r="I114" s="3">
        <f t="shared" si="13"/>
        <v>-7.104825623744683E-3</v>
      </c>
      <c r="J114" s="3">
        <f t="shared" si="13"/>
        <v>-7.8401028793611393E-3</v>
      </c>
      <c r="K114" s="3">
        <f t="shared" si="13"/>
        <v>-3.4340464433143078E-2</v>
      </c>
      <c r="L114" s="3">
        <f t="shared" si="13"/>
        <v>-1.0598465292343878E-2</v>
      </c>
      <c r="M114" s="3">
        <f t="shared" si="12"/>
        <v>7.0591850393265862E-3</v>
      </c>
      <c r="N114" s="3">
        <f t="shared" si="12"/>
        <v>-3.701698960678981E-3</v>
      </c>
    </row>
    <row r="115" spans="1:14" x14ac:dyDescent="0.3">
      <c r="A115" s="2">
        <v>45868</v>
      </c>
      <c r="B115" s="3">
        <v>209.05</v>
      </c>
      <c r="C115" s="3">
        <v>179.27</v>
      </c>
      <c r="D115" s="3">
        <v>319.04000000000002</v>
      </c>
      <c r="E115" s="3">
        <v>45.53</v>
      </c>
      <c r="F115" s="3">
        <v>35.29</v>
      </c>
      <c r="G115" s="4">
        <v>6362.9</v>
      </c>
      <c r="I115" s="3">
        <f t="shared" si="13"/>
        <v>-1.0563478509569259E-2</v>
      </c>
      <c r="J115" s="3">
        <f t="shared" si="13"/>
        <v>2.119702792714857E-2</v>
      </c>
      <c r="K115" s="3">
        <f t="shared" si="13"/>
        <v>-6.7474952991329693E-3</v>
      </c>
      <c r="L115" s="3">
        <f t="shared" si="13"/>
        <v>-4.8203423748395301E-3</v>
      </c>
      <c r="M115" s="3">
        <f t="shared" si="12"/>
        <v>-3.6769946675088245E-3</v>
      </c>
      <c r="N115" s="3">
        <f t="shared" si="12"/>
        <v>-1.2502200507663753E-3</v>
      </c>
    </row>
    <row r="116" spans="1:14" x14ac:dyDescent="0.3">
      <c r="A116" s="2">
        <v>45867</v>
      </c>
      <c r="B116" s="3">
        <v>211.27</v>
      </c>
      <c r="C116" s="3">
        <v>175.51</v>
      </c>
      <c r="D116" s="3">
        <v>321.2</v>
      </c>
      <c r="E116" s="3">
        <v>45.75</v>
      </c>
      <c r="F116" s="3">
        <v>35.42</v>
      </c>
      <c r="G116" s="4">
        <v>6370.86</v>
      </c>
      <c r="I116" s="3">
        <f t="shared" si="13"/>
        <v>-1.3072696278811793E-2</v>
      </c>
      <c r="J116" s="3">
        <f t="shared" si="13"/>
        <v>-7.0402834370834003E-3</v>
      </c>
      <c r="K116" s="3">
        <f t="shared" si="13"/>
        <v>-1.3574939053426568E-2</v>
      </c>
      <c r="L116" s="3">
        <f t="shared" si="13"/>
        <v>-1.7335212001545672E-2</v>
      </c>
      <c r="M116" s="3">
        <f t="shared" si="12"/>
        <v>-8.15412925166961E-3</v>
      </c>
      <c r="N116" s="3">
        <f t="shared" si="12"/>
        <v>-2.9638056808081927E-3</v>
      </c>
    </row>
    <row r="117" spans="1:14" x14ac:dyDescent="0.3">
      <c r="A117" s="2">
        <v>45866</v>
      </c>
      <c r="B117" s="3">
        <v>214.05</v>
      </c>
      <c r="C117" s="3">
        <v>176.75</v>
      </c>
      <c r="D117" s="3">
        <v>325.58999999999997</v>
      </c>
      <c r="E117" s="3">
        <v>46.55</v>
      </c>
      <c r="F117" s="3">
        <v>35.71</v>
      </c>
      <c r="G117" s="4">
        <v>6389.77</v>
      </c>
      <c r="I117" s="3">
        <f t="shared" si="13"/>
        <v>7.9452251042439034E-4</v>
      </c>
      <c r="J117" s="3">
        <f t="shared" si="13"/>
        <v>1.8558705389768251E-2</v>
      </c>
      <c r="K117" s="3">
        <f t="shared" si="13"/>
        <v>2.9706852145075558E-2</v>
      </c>
      <c r="L117" s="3">
        <f t="shared" si="13"/>
        <v>1.079924102176023E-2</v>
      </c>
      <c r="M117" s="3">
        <f t="shared" si="12"/>
        <v>-1.3991886989562262E-3</v>
      </c>
      <c r="N117" s="3">
        <f t="shared" si="12"/>
        <v>1.7686081491285848E-4</v>
      </c>
    </row>
    <row r="118" spans="1:14" x14ac:dyDescent="0.3">
      <c r="A118" s="2">
        <v>45863</v>
      </c>
      <c r="B118" s="3">
        <v>213.88</v>
      </c>
      <c r="C118" s="3">
        <v>173.5</v>
      </c>
      <c r="D118" s="3">
        <v>316.06</v>
      </c>
      <c r="E118" s="3">
        <v>46.05</v>
      </c>
      <c r="F118" s="3">
        <v>35.76</v>
      </c>
      <c r="G118" s="4">
        <v>6388.64</v>
      </c>
      <c r="I118" s="3">
        <f t="shared" si="13"/>
        <v>5.6121973225001546E-4</v>
      </c>
      <c r="J118" s="3">
        <f t="shared" si="13"/>
        <v>-1.3823294448606579E-3</v>
      </c>
      <c r="K118" s="3">
        <f t="shared" si="13"/>
        <v>3.4637169240125415E-2</v>
      </c>
      <c r="L118" s="3">
        <f t="shared" si="13"/>
        <v>7.1919237747058587E-3</v>
      </c>
      <c r="M118" s="3">
        <f t="shared" si="12"/>
        <v>2.1481888815899578E-2</v>
      </c>
      <c r="N118" s="3">
        <f t="shared" si="12"/>
        <v>3.9664449480632307E-3</v>
      </c>
    </row>
    <row r="119" spans="1:14" x14ac:dyDescent="0.3">
      <c r="A119" s="2">
        <v>45862</v>
      </c>
      <c r="B119" s="3">
        <v>213.76</v>
      </c>
      <c r="C119" s="3">
        <v>173.74</v>
      </c>
      <c r="D119" s="3">
        <v>305.3</v>
      </c>
      <c r="E119" s="3">
        <v>45.72</v>
      </c>
      <c r="F119" s="3">
        <v>35</v>
      </c>
      <c r="G119" s="4">
        <v>6363.35</v>
      </c>
      <c r="I119" s="3">
        <f t="shared" si="13"/>
        <v>-1.8228137130991598E-3</v>
      </c>
      <c r="J119" s="3">
        <f t="shared" si="13"/>
        <v>1.718375035231447E-2</v>
      </c>
      <c r="K119" s="3">
        <f t="shared" si="13"/>
        <v>-8.5525395203549792E-2</v>
      </c>
      <c r="L119" s="3">
        <f t="shared" si="13"/>
        <v>2.3009864725609855E-2</v>
      </c>
      <c r="M119" s="3">
        <f t="shared" si="12"/>
        <v>8.5751041412918268E-4</v>
      </c>
      <c r="N119" s="3">
        <f t="shared" si="12"/>
        <v>6.9798922208170696E-4</v>
      </c>
    </row>
    <row r="120" spans="1:14" x14ac:dyDescent="0.3">
      <c r="A120" s="2">
        <v>45861</v>
      </c>
      <c r="B120" s="3">
        <v>214.15</v>
      </c>
      <c r="C120" s="3">
        <v>170.78</v>
      </c>
      <c r="D120" s="3">
        <v>332.56</v>
      </c>
      <c r="E120" s="3">
        <v>44.68</v>
      </c>
      <c r="F120" s="3">
        <v>34.97</v>
      </c>
      <c r="G120" s="4">
        <v>6358.91</v>
      </c>
      <c r="I120" s="3">
        <f t="shared" si="13"/>
        <v>-1.1667251352669031E-3</v>
      </c>
      <c r="J120" s="3">
        <f t="shared" si="13"/>
        <v>2.2202741477603823E-2</v>
      </c>
      <c r="K120" s="3">
        <f t="shared" si="13"/>
        <v>1.3540556027952946E-3</v>
      </c>
      <c r="L120" s="3">
        <f t="shared" si="13"/>
        <v>0.11014664504541247</v>
      </c>
      <c r="M120" s="3">
        <f t="shared" si="12"/>
        <v>-7.4074412778616936E-3</v>
      </c>
      <c r="N120" s="3">
        <f t="shared" si="12"/>
        <v>7.7815261467118115E-3</v>
      </c>
    </row>
    <row r="121" spans="1:14" x14ac:dyDescent="0.3">
      <c r="A121" s="2">
        <v>45860</v>
      </c>
      <c r="B121" s="3">
        <v>214.4</v>
      </c>
      <c r="C121" s="3">
        <v>167.03</v>
      </c>
      <c r="D121" s="3">
        <v>332.11</v>
      </c>
      <c r="E121" s="3">
        <v>40.020000000000003</v>
      </c>
      <c r="F121" s="3">
        <v>35.229999999999997</v>
      </c>
      <c r="G121" s="4">
        <v>6309.62</v>
      </c>
      <c r="I121" s="3">
        <f t="shared" si="13"/>
        <v>8.9955629085780031E-3</v>
      </c>
      <c r="J121" s="3">
        <f t="shared" si="13"/>
        <v>-2.5709876239116483E-2</v>
      </c>
      <c r="K121" s="3">
        <f t="shared" si="13"/>
        <v>1.095984328057463E-2</v>
      </c>
      <c r="L121" s="3">
        <f t="shared" si="13"/>
        <v>4.2569239193632393E-3</v>
      </c>
      <c r="M121" s="3">
        <f t="shared" si="12"/>
        <v>2.5004895237091564E-2</v>
      </c>
      <c r="N121" s="3">
        <f t="shared" si="12"/>
        <v>6.3732541106239072E-4</v>
      </c>
    </row>
    <row r="122" spans="1:14" x14ac:dyDescent="0.3">
      <c r="A122" s="2">
        <v>45859</v>
      </c>
      <c r="B122" s="3">
        <v>212.48</v>
      </c>
      <c r="C122" s="3">
        <v>171.38</v>
      </c>
      <c r="D122" s="3">
        <v>328.49</v>
      </c>
      <c r="E122" s="3">
        <v>39.85</v>
      </c>
      <c r="F122" s="3">
        <v>34.36</v>
      </c>
      <c r="G122" s="4">
        <v>6305.6</v>
      </c>
      <c r="I122" s="3">
        <f t="shared" si="13"/>
        <v>6.1370159097006195E-3</v>
      </c>
      <c r="J122" s="3">
        <f t="shared" si="13"/>
        <v>-5.9920479467871594E-3</v>
      </c>
      <c r="K122" s="3">
        <f t="shared" si="13"/>
        <v>-3.5250894982966565E-3</v>
      </c>
      <c r="L122" s="3">
        <f t="shared" si="13"/>
        <v>3.2675660592522957E-3</v>
      </c>
      <c r="M122" s="3">
        <f t="shared" si="12"/>
        <v>-8.727273281202262E-4</v>
      </c>
      <c r="N122" s="3">
        <f t="shared" si="12"/>
        <v>1.3981477220053166E-3</v>
      </c>
    </row>
    <row r="123" spans="1:14" x14ac:dyDescent="0.3">
      <c r="A123" s="2">
        <v>45856</v>
      </c>
      <c r="B123" s="3">
        <v>211.18</v>
      </c>
      <c r="C123" s="3">
        <v>172.41</v>
      </c>
      <c r="D123" s="3">
        <v>329.65</v>
      </c>
      <c r="E123" s="3">
        <v>39.72</v>
      </c>
      <c r="F123" s="3">
        <v>34.39</v>
      </c>
      <c r="G123" s="4">
        <v>6296.79</v>
      </c>
      <c r="I123" s="3">
        <f t="shared" si="13"/>
        <v>5.5080861005209316E-3</v>
      </c>
      <c r="J123" s="3">
        <f t="shared" si="13"/>
        <v>-3.416233310019081E-3</v>
      </c>
      <c r="K123" s="3">
        <f t="shared" si="13"/>
        <v>3.1555941564684054E-2</v>
      </c>
      <c r="L123" s="3">
        <f t="shared" si="13"/>
        <v>1.3688426660577107E-2</v>
      </c>
      <c r="M123" s="3">
        <f t="shared" si="12"/>
        <v>-3.1934995931392303E-3</v>
      </c>
      <c r="N123" s="3">
        <f t="shared" si="12"/>
        <v>-9.051821685285016E-5</v>
      </c>
    </row>
    <row r="124" spans="1:14" x14ac:dyDescent="0.3">
      <c r="A124" s="2">
        <v>45855</v>
      </c>
      <c r="B124" s="3">
        <v>210.02</v>
      </c>
      <c r="C124" s="3">
        <v>173</v>
      </c>
      <c r="D124" s="3">
        <v>319.41000000000003</v>
      </c>
      <c r="E124" s="3">
        <v>39.18</v>
      </c>
      <c r="F124" s="3">
        <v>34.5</v>
      </c>
      <c r="G124" s="4">
        <v>6297.36</v>
      </c>
      <c r="I124" s="3">
        <f t="shared" si="13"/>
        <v>-6.6638109943707117E-4</v>
      </c>
      <c r="J124" s="3">
        <f t="shared" si="13"/>
        <v>9.466632825021094E-3</v>
      </c>
      <c r="K124" s="3">
        <f t="shared" si="13"/>
        <v>-7.0506313168599444E-3</v>
      </c>
      <c r="L124" s="3">
        <f t="shared" si="13"/>
        <v>1.2843741931301134E-2</v>
      </c>
      <c r="M124" s="3">
        <f t="shared" si="12"/>
        <v>3.660385027253258E-2</v>
      </c>
      <c r="N124" s="3">
        <f t="shared" si="12"/>
        <v>5.359433132147322E-3</v>
      </c>
    </row>
    <row r="125" spans="1:14" x14ac:dyDescent="0.3">
      <c r="A125" s="2">
        <v>45854</v>
      </c>
      <c r="B125" s="3">
        <v>210.16</v>
      </c>
      <c r="C125" s="3">
        <v>171.37</v>
      </c>
      <c r="D125" s="3">
        <v>321.67</v>
      </c>
      <c r="E125" s="3">
        <v>38.68</v>
      </c>
      <c r="F125" s="3">
        <v>33.26</v>
      </c>
      <c r="G125" s="4">
        <v>6263.7</v>
      </c>
      <c r="I125" s="3">
        <f t="shared" si="13"/>
        <v>5.0087160785759338E-3</v>
      </c>
      <c r="J125" s="3">
        <f t="shared" si="13"/>
        <v>3.9173318723629844E-3</v>
      </c>
      <c r="K125" s="3">
        <f t="shared" si="13"/>
        <v>3.4440908952896469E-2</v>
      </c>
      <c r="L125" s="3">
        <f t="shared" si="13"/>
        <v>-7.9825324094124732E-3</v>
      </c>
      <c r="M125" s="3">
        <f t="shared" si="12"/>
        <v>-6.592771856492886E-3</v>
      </c>
      <c r="N125" s="3">
        <f t="shared" si="12"/>
        <v>3.1884998062567844E-3</v>
      </c>
    </row>
    <row r="126" spans="1:14" x14ac:dyDescent="0.3">
      <c r="A126" s="2">
        <v>45853</v>
      </c>
      <c r="B126" s="3">
        <v>209.11</v>
      </c>
      <c r="C126" s="3">
        <v>170.7</v>
      </c>
      <c r="D126" s="3">
        <v>310.77999999999997</v>
      </c>
      <c r="E126" s="3">
        <v>38.99</v>
      </c>
      <c r="F126" s="3">
        <v>33.479999999999997</v>
      </c>
      <c r="G126" s="4">
        <v>6243.76</v>
      </c>
      <c r="I126" s="3">
        <f t="shared" si="13"/>
        <v>2.3460140508832585E-3</v>
      </c>
      <c r="J126" s="3">
        <f t="shared" si="13"/>
        <v>3.961446377360394E-2</v>
      </c>
      <c r="K126" s="3">
        <f t="shared" si="13"/>
        <v>-1.9501000338286958E-2</v>
      </c>
      <c r="L126" s="3">
        <f t="shared" si="13"/>
        <v>-2.2318958398757548E-2</v>
      </c>
      <c r="M126" s="3">
        <f t="shared" si="12"/>
        <v>-1.4823870622511417E-2</v>
      </c>
      <c r="N126" s="3">
        <f t="shared" si="12"/>
        <v>-3.9640981809521275E-3</v>
      </c>
    </row>
    <row r="127" spans="1:14" x14ac:dyDescent="0.3">
      <c r="A127" s="2">
        <v>45852</v>
      </c>
      <c r="B127" s="3">
        <v>208.62</v>
      </c>
      <c r="C127" s="3">
        <v>164.07</v>
      </c>
      <c r="D127" s="3">
        <v>316.89999999999998</v>
      </c>
      <c r="E127" s="3">
        <v>39.869999999999997</v>
      </c>
      <c r="F127" s="3">
        <v>33.979999999999997</v>
      </c>
      <c r="G127" s="4">
        <v>6268.56</v>
      </c>
      <c r="I127" s="3">
        <f t="shared" si="13"/>
        <v>-1.210172470759039E-2</v>
      </c>
      <c r="J127" s="3">
        <f t="shared" si="13"/>
        <v>-5.1673418119081264E-3</v>
      </c>
      <c r="K127" s="3">
        <f t="shared" si="13"/>
        <v>1.0755009205992924E-2</v>
      </c>
      <c r="L127" s="3">
        <f t="shared" si="13"/>
        <v>-2.0603931055285841E-2</v>
      </c>
      <c r="M127" s="3">
        <f t="shared" ref="M127:N190" si="14">LN(F127/F128)</f>
        <v>-3.5252680456852713E-3</v>
      </c>
      <c r="N127" s="3">
        <f t="shared" si="14"/>
        <v>1.4064149836943984E-3</v>
      </c>
    </row>
    <row r="128" spans="1:14" x14ac:dyDescent="0.3">
      <c r="A128" s="2">
        <v>45849</v>
      </c>
      <c r="B128" s="3">
        <v>211.16</v>
      </c>
      <c r="C128" s="3">
        <v>164.92</v>
      </c>
      <c r="D128" s="3">
        <v>313.51</v>
      </c>
      <c r="E128" s="3">
        <v>40.700000000000003</v>
      </c>
      <c r="F128" s="3">
        <v>34.1</v>
      </c>
      <c r="G128" s="4">
        <v>6259.75</v>
      </c>
      <c r="I128" s="3">
        <f t="shared" si="13"/>
        <v>-5.902229283378157E-3</v>
      </c>
      <c r="J128" s="3">
        <f t="shared" si="13"/>
        <v>4.9845097426541108E-3</v>
      </c>
      <c r="K128" s="3">
        <f t="shared" si="13"/>
        <v>1.1678402804230398E-2</v>
      </c>
      <c r="L128" s="3">
        <f t="shared" si="13"/>
        <v>2.4625047305389194E-2</v>
      </c>
      <c r="M128" s="3">
        <f t="shared" si="14"/>
        <v>1.6558627894408276E-2</v>
      </c>
      <c r="N128" s="3">
        <f t="shared" si="14"/>
        <v>-3.3029779929135954E-3</v>
      </c>
    </row>
    <row r="129" spans="1:14" x14ac:dyDescent="0.3">
      <c r="A129" s="2">
        <v>45848</v>
      </c>
      <c r="B129" s="3">
        <v>212.41</v>
      </c>
      <c r="C129" s="3">
        <v>164.1</v>
      </c>
      <c r="D129" s="3">
        <v>309.87</v>
      </c>
      <c r="E129" s="3">
        <v>39.71</v>
      </c>
      <c r="F129" s="3">
        <v>33.54</v>
      </c>
      <c r="G129" s="4">
        <v>6280.46</v>
      </c>
      <c r="I129" s="3">
        <f t="shared" si="13"/>
        <v>5.9969486772448706E-3</v>
      </c>
      <c r="J129" s="3">
        <f t="shared" si="13"/>
        <v>7.462264733887297E-3</v>
      </c>
      <c r="K129" s="3">
        <f t="shared" si="13"/>
        <v>4.6198887966984868E-2</v>
      </c>
      <c r="L129" s="3">
        <f t="shared" si="13"/>
        <v>9.6154586994419734E-3</v>
      </c>
      <c r="M129" s="3">
        <f t="shared" si="14"/>
        <v>6.2808640754145797E-3</v>
      </c>
      <c r="N129" s="3">
        <f t="shared" si="14"/>
        <v>2.7424098720043449E-3</v>
      </c>
    </row>
    <row r="130" spans="1:14" x14ac:dyDescent="0.3">
      <c r="A130" s="2">
        <v>45847</v>
      </c>
      <c r="B130" s="3">
        <v>211.14</v>
      </c>
      <c r="C130" s="3">
        <v>162.88</v>
      </c>
      <c r="D130" s="3">
        <v>295.88</v>
      </c>
      <c r="E130" s="3">
        <v>39.33</v>
      </c>
      <c r="F130" s="3">
        <v>33.33</v>
      </c>
      <c r="G130" s="4">
        <v>6263.26</v>
      </c>
      <c r="I130" s="3">
        <f t="shared" si="13"/>
        <v>5.3662719302117997E-3</v>
      </c>
      <c r="J130" s="3">
        <f t="shared" si="13"/>
        <v>1.7839918128331016E-2</v>
      </c>
      <c r="K130" s="3">
        <f t="shared" si="13"/>
        <v>-6.5017325500732704E-3</v>
      </c>
      <c r="L130" s="3">
        <f t="shared" si="13"/>
        <v>-1.9638093338243404E-2</v>
      </c>
      <c r="M130" s="3">
        <f t="shared" si="14"/>
        <v>-1.7985616359148672E-3</v>
      </c>
      <c r="N130" s="3">
        <f t="shared" si="14"/>
        <v>6.0438433346768419E-3</v>
      </c>
    </row>
    <row r="131" spans="1:14" x14ac:dyDescent="0.3">
      <c r="A131" s="2">
        <v>45846</v>
      </c>
      <c r="B131" s="3">
        <v>210.01</v>
      </c>
      <c r="C131" s="3">
        <v>160</v>
      </c>
      <c r="D131" s="3">
        <v>297.81</v>
      </c>
      <c r="E131" s="3">
        <v>40.11</v>
      </c>
      <c r="F131" s="3">
        <v>33.39</v>
      </c>
      <c r="G131" s="4">
        <v>6225.52</v>
      </c>
      <c r="I131" s="3">
        <f t="shared" si="13"/>
        <v>2.8574150113462317E-4</v>
      </c>
      <c r="J131" s="3">
        <f t="shared" si="13"/>
        <v>1.1060947359424976E-2</v>
      </c>
      <c r="K131" s="3">
        <f t="shared" si="13"/>
        <v>1.3080034391201647E-2</v>
      </c>
      <c r="L131" s="3">
        <f t="shared" ref="L131:N194" si="15">LN(E131/E132)</f>
        <v>2.5758999977098053E-2</v>
      </c>
      <c r="M131" s="3">
        <f t="shared" si="14"/>
        <v>1.0234887657867961E-2</v>
      </c>
      <c r="N131" s="3">
        <f t="shared" si="14"/>
        <v>-7.1614952279967596E-4</v>
      </c>
    </row>
    <row r="132" spans="1:14" x14ac:dyDescent="0.3">
      <c r="A132" s="2">
        <v>45845</v>
      </c>
      <c r="B132" s="3">
        <v>209.95</v>
      </c>
      <c r="C132" s="3">
        <v>158.24</v>
      </c>
      <c r="D132" s="3">
        <v>293.94</v>
      </c>
      <c r="E132" s="3">
        <v>39.090000000000003</v>
      </c>
      <c r="F132" s="3">
        <v>33.049999999999997</v>
      </c>
      <c r="G132" s="4">
        <v>6229.98</v>
      </c>
      <c r="I132" s="3">
        <f t="shared" ref="I132:N195" si="16">LN(B132/B133)</f>
        <v>-1.7001590157273334E-2</v>
      </c>
      <c r="J132" s="3">
        <f t="shared" si="16"/>
        <v>-6.9274160778179843E-3</v>
      </c>
      <c r="K132" s="3">
        <f t="shared" si="16"/>
        <v>-7.0307468231121828E-2</v>
      </c>
      <c r="L132" s="3">
        <f t="shared" si="15"/>
        <v>-1.3972029656923672E-2</v>
      </c>
      <c r="M132" s="3">
        <f t="shared" si="14"/>
        <v>-1.6504500671463425E-2</v>
      </c>
      <c r="N132" s="3">
        <f t="shared" si="14"/>
        <v>-7.8933494172341197E-3</v>
      </c>
    </row>
    <row r="133" spans="1:14" x14ac:dyDescent="0.3">
      <c r="A133" s="2">
        <v>45841</v>
      </c>
      <c r="B133" s="3">
        <v>213.55</v>
      </c>
      <c r="C133" s="3">
        <v>159.34</v>
      </c>
      <c r="D133" s="3">
        <v>315.35000000000002</v>
      </c>
      <c r="E133" s="3">
        <v>39.64</v>
      </c>
      <c r="F133" s="3">
        <v>33.6</v>
      </c>
      <c r="G133" s="4">
        <v>6279.35</v>
      </c>
      <c r="I133" s="3">
        <f t="shared" si="16"/>
        <v>5.2114017332771934E-3</v>
      </c>
      <c r="J133" s="3">
        <f t="shared" si="16"/>
        <v>1.3203388371670191E-2</v>
      </c>
      <c r="K133" s="3">
        <f t="shared" si="16"/>
        <v>-9.5087170397421805E-4</v>
      </c>
      <c r="L133" s="3">
        <f t="shared" si="15"/>
        <v>-4.7816877317656149E-3</v>
      </c>
      <c r="M133" s="3">
        <f t="shared" si="14"/>
        <v>-2.975747678556785E-4</v>
      </c>
      <c r="N133" s="3">
        <f t="shared" si="14"/>
        <v>8.3043501133723049E-3</v>
      </c>
    </row>
    <row r="134" spans="1:14" x14ac:dyDescent="0.3">
      <c r="A134" s="2">
        <v>45840</v>
      </c>
      <c r="B134" s="3">
        <v>212.44</v>
      </c>
      <c r="C134" s="3">
        <v>157.25</v>
      </c>
      <c r="D134" s="3">
        <v>315.64999999999998</v>
      </c>
      <c r="E134" s="3">
        <v>39.83</v>
      </c>
      <c r="F134" s="3">
        <v>33.61</v>
      </c>
      <c r="G134" s="4">
        <v>6227.42</v>
      </c>
      <c r="I134" s="3">
        <f t="shared" si="16"/>
        <v>2.1987275129697868E-2</v>
      </c>
      <c r="J134" s="3">
        <f t="shared" si="16"/>
        <v>2.5440109702781329E-2</v>
      </c>
      <c r="K134" s="3">
        <f t="shared" si="16"/>
        <v>4.8487659635496415E-2</v>
      </c>
      <c r="L134" s="3">
        <f t="shared" si="15"/>
        <v>2.9039228481131173E-2</v>
      </c>
      <c r="M134" s="3">
        <f t="shared" si="14"/>
        <v>4.1741265137790716E-3</v>
      </c>
      <c r="N134" s="3">
        <f t="shared" si="14"/>
        <v>4.7338490372572867E-3</v>
      </c>
    </row>
    <row r="135" spans="1:14" x14ac:dyDescent="0.3">
      <c r="A135" s="2">
        <v>45839</v>
      </c>
      <c r="B135" s="3">
        <v>207.82</v>
      </c>
      <c r="C135" s="3">
        <v>153.30000000000001</v>
      </c>
      <c r="D135" s="3">
        <v>300.70999999999998</v>
      </c>
      <c r="E135" s="3">
        <v>38.69</v>
      </c>
      <c r="F135" s="3">
        <v>33.47</v>
      </c>
      <c r="G135" s="4">
        <v>6198.01</v>
      </c>
      <c r="I135" s="3">
        <f t="shared" si="16"/>
        <v>1.2833416646386379E-2</v>
      </c>
      <c r="J135" s="3">
        <f t="shared" si="16"/>
        <v>-3.0134954006989227E-2</v>
      </c>
      <c r="K135" s="3">
        <f t="shared" si="16"/>
        <v>-5.4835283228870893E-2</v>
      </c>
      <c r="L135" s="3">
        <f t="shared" si="15"/>
        <v>9.0874310949231058E-3</v>
      </c>
      <c r="M135" s="3">
        <f t="shared" si="14"/>
        <v>2.5417404618005884E-2</v>
      </c>
      <c r="N135" s="3">
        <f t="shared" si="14"/>
        <v>-1.1190878184368853E-3</v>
      </c>
    </row>
    <row r="136" spans="1:14" x14ac:dyDescent="0.3">
      <c r="A136" s="2">
        <v>45838</v>
      </c>
      <c r="B136" s="3">
        <v>205.17</v>
      </c>
      <c r="C136" s="3">
        <v>157.99</v>
      </c>
      <c r="D136" s="3">
        <v>317.66000000000003</v>
      </c>
      <c r="E136" s="3">
        <v>38.340000000000003</v>
      </c>
      <c r="F136" s="3">
        <v>32.630000000000003</v>
      </c>
      <c r="G136" s="4">
        <v>6204.95</v>
      </c>
      <c r="I136" s="3">
        <f t="shared" si="16"/>
        <v>2.0136064953739752E-2</v>
      </c>
      <c r="J136" s="3">
        <f t="shared" si="16"/>
        <v>1.5202384634350752E-3</v>
      </c>
      <c r="K136" s="3">
        <f t="shared" si="16"/>
        <v>-1.8619259526030434E-2</v>
      </c>
      <c r="L136" s="3">
        <f t="shared" si="15"/>
        <v>7.3298757494950914E-3</v>
      </c>
      <c r="M136" s="3">
        <f t="shared" si="14"/>
        <v>-8.5444523500190928E-3</v>
      </c>
      <c r="N136" s="3">
        <f t="shared" si="14"/>
        <v>5.1510775537443156E-3</v>
      </c>
    </row>
    <row r="137" spans="1:14" x14ac:dyDescent="0.3">
      <c r="A137" s="2">
        <v>45835</v>
      </c>
      <c r="B137" s="3">
        <v>201.08</v>
      </c>
      <c r="C137" s="3">
        <v>157.75</v>
      </c>
      <c r="D137" s="3">
        <v>323.63</v>
      </c>
      <c r="E137" s="3">
        <v>38.06</v>
      </c>
      <c r="F137" s="3">
        <v>32.909999999999997</v>
      </c>
      <c r="G137" s="4">
        <v>6173.07</v>
      </c>
      <c r="I137" s="3">
        <f t="shared" si="16"/>
        <v>3.9793076529873232E-4</v>
      </c>
      <c r="J137" s="3">
        <f t="shared" si="16"/>
        <v>1.7457360567957013E-2</v>
      </c>
      <c r="K137" s="3">
        <f t="shared" si="16"/>
        <v>-6.6214189964193901E-3</v>
      </c>
      <c r="L137" s="3">
        <f t="shared" si="15"/>
        <v>-6.8080912346563088E-3</v>
      </c>
      <c r="M137" s="3">
        <f t="shared" si="14"/>
        <v>1.0384943667106428E-2</v>
      </c>
      <c r="N137" s="3">
        <f t="shared" si="14"/>
        <v>5.2054309121066676E-3</v>
      </c>
    </row>
    <row r="138" spans="1:14" x14ac:dyDescent="0.3">
      <c r="A138" s="2">
        <v>45834</v>
      </c>
      <c r="B138" s="3">
        <v>201</v>
      </c>
      <c r="C138" s="3">
        <v>155.02000000000001</v>
      </c>
      <c r="D138" s="3">
        <v>325.77999999999997</v>
      </c>
      <c r="E138" s="3">
        <v>38.32</v>
      </c>
      <c r="F138" s="3">
        <v>32.57</v>
      </c>
      <c r="G138" s="4">
        <v>6141.02</v>
      </c>
      <c r="I138" s="3">
        <f t="shared" si="16"/>
        <v>-2.782195753321553E-3</v>
      </c>
      <c r="J138" s="3">
        <f t="shared" si="16"/>
        <v>4.5905747702518936E-3</v>
      </c>
      <c r="K138" s="3">
        <f t="shared" si="16"/>
        <v>-5.4184082484264639E-3</v>
      </c>
      <c r="L138" s="3">
        <f t="shared" si="15"/>
        <v>1.9499959117340652E-2</v>
      </c>
      <c r="M138" s="3">
        <f t="shared" si="14"/>
        <v>2.4592696071331645E-3</v>
      </c>
      <c r="N138" s="3">
        <f t="shared" si="14"/>
        <v>7.9881534997771932E-3</v>
      </c>
    </row>
    <row r="139" spans="1:14" x14ac:dyDescent="0.3">
      <c r="A139" s="2">
        <v>45833</v>
      </c>
      <c r="B139" s="3">
        <v>201.56</v>
      </c>
      <c r="C139" s="3">
        <v>154.31</v>
      </c>
      <c r="D139" s="3">
        <v>327.55</v>
      </c>
      <c r="E139" s="3">
        <v>37.58</v>
      </c>
      <c r="F139" s="3">
        <v>32.49</v>
      </c>
      <c r="G139" s="4">
        <v>6092.16</v>
      </c>
      <c r="I139" s="3">
        <f t="shared" si="16"/>
        <v>6.2708611406248112E-3</v>
      </c>
      <c r="J139" s="3">
        <f t="shared" si="16"/>
        <v>4.242719636635936E-2</v>
      </c>
      <c r="K139" s="3">
        <f t="shared" si="16"/>
        <v>-3.8686300803271921E-2</v>
      </c>
      <c r="L139" s="3">
        <f t="shared" si="15"/>
        <v>-1.0324380258391674E-2</v>
      </c>
      <c r="M139" s="3">
        <f t="shared" si="14"/>
        <v>3.0783438753196138E-4</v>
      </c>
      <c r="N139" s="3">
        <f t="shared" si="14"/>
        <v>-3.2829024797798922E-6</v>
      </c>
    </row>
    <row r="140" spans="1:14" x14ac:dyDescent="0.3">
      <c r="A140" s="2">
        <v>45832</v>
      </c>
      <c r="B140" s="3">
        <v>200.3</v>
      </c>
      <c r="C140" s="3">
        <v>147.9</v>
      </c>
      <c r="D140" s="3">
        <v>340.47</v>
      </c>
      <c r="E140" s="3">
        <v>37.97</v>
      </c>
      <c r="F140" s="3">
        <v>32.479999999999997</v>
      </c>
      <c r="G140" s="4">
        <v>6092.18</v>
      </c>
      <c r="I140" s="3">
        <f t="shared" si="16"/>
        <v>-5.9731387149650926E-3</v>
      </c>
      <c r="J140" s="3">
        <f t="shared" si="16"/>
        <v>2.5543210892941814E-2</v>
      </c>
      <c r="K140" s="3">
        <f t="shared" si="16"/>
        <v>-2.3827580162217969E-2</v>
      </c>
      <c r="L140" s="3">
        <f t="shared" si="15"/>
        <v>3.6939355987730621E-3</v>
      </c>
      <c r="M140" s="3">
        <f t="shared" si="14"/>
        <v>1.8489989859470026E-3</v>
      </c>
      <c r="N140" s="3">
        <f t="shared" si="14"/>
        <v>1.1060286796932295E-2</v>
      </c>
    </row>
    <row r="141" spans="1:14" x14ac:dyDescent="0.3">
      <c r="A141" s="2">
        <v>45831</v>
      </c>
      <c r="B141" s="3">
        <v>201.5</v>
      </c>
      <c r="C141" s="3">
        <v>144.16999999999999</v>
      </c>
      <c r="D141" s="3">
        <v>348.68</v>
      </c>
      <c r="E141" s="3">
        <v>37.83</v>
      </c>
      <c r="F141" s="3">
        <v>32.42</v>
      </c>
      <c r="G141" s="4">
        <v>6025.17</v>
      </c>
      <c r="H141" s="30"/>
      <c r="I141" s="3">
        <f t="shared" si="16"/>
        <v>2.4844733276619658E-3</v>
      </c>
      <c r="J141" s="3">
        <f t="shared" si="16"/>
        <v>2.2220688262553491E-3</v>
      </c>
      <c r="K141" s="3">
        <f t="shared" si="16"/>
        <v>7.9106279600176424E-2</v>
      </c>
      <c r="L141" s="3">
        <f t="shared" si="15"/>
        <v>-3.0459207484708574E-2</v>
      </c>
      <c r="M141" s="3">
        <f t="shared" si="14"/>
        <v>1.1166369126123081E-2</v>
      </c>
      <c r="N141" s="3">
        <f t="shared" si="14"/>
        <v>9.5606418556962881E-3</v>
      </c>
    </row>
    <row r="142" spans="1:14" x14ac:dyDescent="0.3">
      <c r="A142" s="2">
        <v>45828</v>
      </c>
      <c r="B142" s="3">
        <v>201</v>
      </c>
      <c r="C142" s="3">
        <v>143.85</v>
      </c>
      <c r="D142" s="3">
        <v>322.16000000000003</v>
      </c>
      <c r="E142" s="3">
        <v>39</v>
      </c>
      <c r="F142" s="3">
        <v>32.06</v>
      </c>
      <c r="G142" s="4">
        <v>5967.84</v>
      </c>
      <c r="H142" s="30"/>
      <c r="I142" s="3">
        <f t="shared" si="16"/>
        <v>2.2235434920592347E-2</v>
      </c>
      <c r="J142" s="3">
        <f t="shared" si="16"/>
        <v>-1.1267530121231335E-2</v>
      </c>
      <c r="K142" s="3">
        <f t="shared" si="16"/>
        <v>3.415035502990741E-4</v>
      </c>
      <c r="L142" s="3">
        <f t="shared" si="15"/>
        <v>5.1295205023169457E-4</v>
      </c>
      <c r="M142" s="3">
        <f t="shared" si="14"/>
        <v>-5.5987704570206161E-3</v>
      </c>
      <c r="N142" s="3">
        <f t="shared" si="14"/>
        <v>-2.1809894398640384E-3</v>
      </c>
    </row>
    <row r="143" spans="1:14" x14ac:dyDescent="0.3">
      <c r="A143" s="2">
        <v>45826</v>
      </c>
      <c r="B143" s="3">
        <v>196.58</v>
      </c>
      <c r="C143" s="3">
        <v>145.47999999999999</v>
      </c>
      <c r="D143" s="3">
        <v>322.05</v>
      </c>
      <c r="E143" s="3">
        <v>38.979999999999997</v>
      </c>
      <c r="F143" s="3">
        <v>32.24</v>
      </c>
      <c r="G143" s="4">
        <v>5980.87</v>
      </c>
      <c r="I143" s="3">
        <f t="shared" si="16"/>
        <v>4.7932374673270439E-3</v>
      </c>
      <c r="J143" s="3">
        <f t="shared" si="16"/>
        <v>9.3923342388956815E-3</v>
      </c>
      <c r="K143" s="3">
        <f t="shared" si="16"/>
        <v>1.7857617400006472E-2</v>
      </c>
      <c r="L143" s="3">
        <f t="shared" si="15"/>
        <v>-1.5780424181020269E-2</v>
      </c>
      <c r="M143" s="3">
        <f t="shared" si="14"/>
        <v>3.7290285598668544E-3</v>
      </c>
      <c r="N143" s="3">
        <f t="shared" si="14"/>
        <v>-3.0927171772794648E-4</v>
      </c>
    </row>
    <row r="144" spans="1:14" x14ac:dyDescent="0.3">
      <c r="A144" s="2">
        <v>45825</v>
      </c>
      <c r="B144" s="3">
        <v>195.64</v>
      </c>
      <c r="C144" s="3">
        <v>144.12</v>
      </c>
      <c r="D144" s="3">
        <v>316.35000000000002</v>
      </c>
      <c r="E144" s="3">
        <v>39.6</v>
      </c>
      <c r="F144" s="3">
        <v>32.119999999999997</v>
      </c>
      <c r="G144" s="4">
        <v>5982.72</v>
      </c>
      <c r="I144" s="3">
        <f t="shared" si="16"/>
        <v>-1.4109760550600002E-2</v>
      </c>
      <c r="J144" s="3">
        <f t="shared" si="16"/>
        <v>-3.9472368690976218E-3</v>
      </c>
      <c r="K144" s="3">
        <f t="shared" si="16"/>
        <v>-3.960361390461585E-2</v>
      </c>
      <c r="L144" s="3">
        <f t="shared" si="15"/>
        <v>1.5523915265928957E-2</v>
      </c>
      <c r="M144" s="3">
        <f t="shared" si="14"/>
        <v>-1.3605652055778822E-2</v>
      </c>
      <c r="N144" s="3">
        <f t="shared" si="14"/>
        <v>-8.3873182957623672E-3</v>
      </c>
    </row>
    <row r="145" spans="1:14" x14ac:dyDescent="0.3">
      <c r="A145" s="2">
        <v>45824</v>
      </c>
      <c r="B145" s="3">
        <v>198.42</v>
      </c>
      <c r="C145" s="3">
        <v>144.69</v>
      </c>
      <c r="D145" s="3">
        <v>329.13</v>
      </c>
      <c r="E145" s="3">
        <v>38.99</v>
      </c>
      <c r="F145" s="3">
        <v>32.56</v>
      </c>
      <c r="G145" s="4">
        <v>6033.11</v>
      </c>
      <c r="I145" s="3">
        <f t="shared" si="16"/>
        <v>9.9780502172876224E-3</v>
      </c>
      <c r="J145" s="3">
        <f t="shared" si="16"/>
        <v>1.8977755073507491E-2</v>
      </c>
      <c r="K145" s="3">
        <f t="shared" si="16"/>
        <v>1.1674235636098084E-2</v>
      </c>
      <c r="L145" s="3">
        <f t="shared" si="15"/>
        <v>-1.2815585503857345E-3</v>
      </c>
      <c r="M145" s="3">
        <f t="shared" si="14"/>
        <v>1.3605652055778678E-2</v>
      </c>
      <c r="N145" s="3">
        <f t="shared" si="14"/>
        <v>9.3488817548551834E-3</v>
      </c>
    </row>
    <row r="146" spans="1:14" x14ac:dyDescent="0.3">
      <c r="A146" s="2">
        <v>45821</v>
      </c>
      <c r="B146" s="3">
        <v>196.45</v>
      </c>
      <c r="C146" s="3">
        <v>141.97</v>
      </c>
      <c r="D146" s="3">
        <v>325.31</v>
      </c>
      <c r="E146" s="3">
        <v>39.04</v>
      </c>
      <c r="F146" s="3">
        <v>32.119999999999997</v>
      </c>
      <c r="G146" s="4">
        <v>5976.97</v>
      </c>
      <c r="I146" s="3">
        <f t="shared" si="16"/>
        <v>-1.3901399146029038E-2</v>
      </c>
      <c r="J146" s="3">
        <f t="shared" si="16"/>
        <v>-2.1117974745091833E-2</v>
      </c>
      <c r="K146" s="3">
        <f t="shared" si="16"/>
        <v>1.9242702929728021E-2</v>
      </c>
      <c r="L146" s="3">
        <f t="shared" si="15"/>
        <v>1.05575848667017E-2</v>
      </c>
      <c r="M146" s="3">
        <f t="shared" si="14"/>
        <v>-8.370844104677139E-3</v>
      </c>
      <c r="N146" s="3">
        <f t="shared" si="14"/>
        <v>-1.1360743305409217E-2</v>
      </c>
    </row>
    <row r="147" spans="1:14" x14ac:dyDescent="0.3">
      <c r="A147" s="2">
        <v>45820</v>
      </c>
      <c r="B147" s="3">
        <v>199.2</v>
      </c>
      <c r="C147" s="3">
        <v>145</v>
      </c>
      <c r="D147" s="3">
        <v>319.11</v>
      </c>
      <c r="E147" s="3">
        <v>38.630000000000003</v>
      </c>
      <c r="F147" s="3">
        <v>32.39</v>
      </c>
      <c r="G147" s="4">
        <v>6045.26</v>
      </c>
      <c r="I147" s="3">
        <f t="shared" si="16"/>
        <v>2.1106596106382439E-3</v>
      </c>
      <c r="J147" s="3">
        <f t="shared" si="16"/>
        <v>1.5078630546037294E-2</v>
      </c>
      <c r="K147" s="3">
        <f t="shared" si="16"/>
        <v>-2.2679659699347213E-2</v>
      </c>
      <c r="L147" s="3">
        <f t="shared" si="15"/>
        <v>-1.0301404514333585E-2</v>
      </c>
      <c r="M147" s="3">
        <f t="shared" si="14"/>
        <v>2.1634995303432187E-3</v>
      </c>
      <c r="N147" s="3">
        <f t="shared" si="14"/>
        <v>3.815210759964134E-3</v>
      </c>
    </row>
    <row r="148" spans="1:14" x14ac:dyDescent="0.3">
      <c r="A148" s="2">
        <v>45819</v>
      </c>
      <c r="B148" s="3">
        <v>198.78</v>
      </c>
      <c r="C148" s="3">
        <v>142.83000000000001</v>
      </c>
      <c r="D148" s="3">
        <v>326.43</v>
      </c>
      <c r="E148" s="3">
        <v>39.03</v>
      </c>
      <c r="F148" s="3">
        <v>32.32</v>
      </c>
      <c r="G148" s="4">
        <v>6022.24</v>
      </c>
      <c r="H148" s="30"/>
      <c r="I148" s="3">
        <f t="shared" si="16"/>
        <v>-1.9380354991362321E-2</v>
      </c>
      <c r="J148" s="3">
        <f t="shared" si="16"/>
        <v>-7.880371336292883E-3</v>
      </c>
      <c r="K148" s="3">
        <f t="shared" si="16"/>
        <v>1.0421137460002769E-3</v>
      </c>
      <c r="L148" s="3">
        <f t="shared" si="15"/>
        <v>-1.2802459820583688E-3</v>
      </c>
      <c r="M148" s="3">
        <f t="shared" si="14"/>
        <v>-8.9327561483330646E-3</v>
      </c>
      <c r="N148" s="3">
        <f t="shared" si="14"/>
        <v>-2.7476895336661002E-3</v>
      </c>
    </row>
    <row r="149" spans="1:14" x14ac:dyDescent="0.3">
      <c r="A149" s="2">
        <v>45818</v>
      </c>
      <c r="B149" s="3">
        <v>202.67</v>
      </c>
      <c r="C149" s="3">
        <v>143.96</v>
      </c>
      <c r="D149" s="3">
        <v>326.08999999999997</v>
      </c>
      <c r="E149" s="3">
        <v>39.08</v>
      </c>
      <c r="F149" s="3">
        <v>32.61</v>
      </c>
      <c r="G149" s="4">
        <v>6038.81</v>
      </c>
      <c r="I149" s="3">
        <f t="shared" si="16"/>
        <v>6.0378288938655912E-3</v>
      </c>
      <c r="J149" s="3">
        <f t="shared" si="16"/>
        <v>9.2816186754991897E-3</v>
      </c>
      <c r="K149" s="3">
        <f t="shared" si="16"/>
        <v>5.5192287870150229E-2</v>
      </c>
      <c r="L149" s="3">
        <f t="shared" si="15"/>
        <v>1.9377947782118318E-2</v>
      </c>
      <c r="M149" s="3">
        <f t="shared" si="14"/>
        <v>1.9508282395419595E-2</v>
      </c>
      <c r="N149" s="3">
        <f t="shared" si="14"/>
        <v>5.4679833266549453E-3</v>
      </c>
    </row>
    <row r="150" spans="1:14" x14ac:dyDescent="0.3">
      <c r="A150" s="2">
        <v>45817</v>
      </c>
      <c r="B150" s="3">
        <v>201.45</v>
      </c>
      <c r="C150" s="3">
        <v>142.63</v>
      </c>
      <c r="D150" s="3">
        <v>308.58</v>
      </c>
      <c r="E150" s="3">
        <v>38.33</v>
      </c>
      <c r="F150" s="3">
        <v>31.98</v>
      </c>
      <c r="G150" s="4">
        <v>6005.88</v>
      </c>
      <c r="H150" s="30"/>
      <c r="I150" s="3">
        <f t="shared" si="16"/>
        <v>-1.2186548430503737E-2</v>
      </c>
      <c r="J150" s="3">
        <f t="shared" si="16"/>
        <v>6.4005845380595509E-3</v>
      </c>
      <c r="K150" s="3">
        <f t="shared" si="16"/>
        <v>4.4531308979576474E-2</v>
      </c>
      <c r="L150" s="3">
        <f t="shared" si="15"/>
        <v>1.1281767304082962E-2</v>
      </c>
      <c r="M150" s="3">
        <f t="shared" si="14"/>
        <v>-7.7869884215382218E-3</v>
      </c>
      <c r="N150" s="3">
        <f t="shared" si="14"/>
        <v>9.1952191342837999E-4</v>
      </c>
    </row>
    <row r="151" spans="1:14" x14ac:dyDescent="0.3">
      <c r="A151" s="2">
        <v>45814</v>
      </c>
      <c r="B151" s="3">
        <v>203.92</v>
      </c>
      <c r="C151" s="3">
        <v>141.72</v>
      </c>
      <c r="D151" s="3">
        <v>295.14</v>
      </c>
      <c r="E151" s="3">
        <v>37.9</v>
      </c>
      <c r="F151" s="3">
        <v>32.229999999999997</v>
      </c>
      <c r="G151" s="4">
        <v>6000.36</v>
      </c>
      <c r="H151" s="30"/>
      <c r="I151" s="3">
        <f t="shared" si="16"/>
        <v>1.6265344375750522E-2</v>
      </c>
      <c r="J151" s="3">
        <f t="shared" si="16"/>
        <v>1.228228851053734E-2</v>
      </c>
      <c r="K151" s="3">
        <f t="shared" si="16"/>
        <v>3.6013825751311526E-2</v>
      </c>
      <c r="L151" s="3">
        <f t="shared" si="15"/>
        <v>1.9987340924612497E-2</v>
      </c>
      <c r="M151" s="3">
        <f t="shared" si="14"/>
        <v>1.5319980729083431E-2</v>
      </c>
      <c r="N151" s="3">
        <f t="shared" si="14"/>
        <v>1.0228186115699976E-2</v>
      </c>
    </row>
    <row r="152" spans="1:14" x14ac:dyDescent="0.3">
      <c r="A152" s="2">
        <v>45813</v>
      </c>
      <c r="B152" s="3">
        <v>200.63</v>
      </c>
      <c r="C152" s="3">
        <v>139.99</v>
      </c>
      <c r="D152" s="3">
        <v>284.7</v>
      </c>
      <c r="E152" s="3">
        <v>37.15</v>
      </c>
      <c r="F152" s="3">
        <v>31.74</v>
      </c>
      <c r="G152" s="4">
        <v>5939.3</v>
      </c>
      <c r="H152" s="30"/>
      <c r="I152" s="3">
        <f t="shared" si="16"/>
        <v>-1.085647049174078E-2</v>
      </c>
      <c r="J152" s="3">
        <f t="shared" si="16"/>
        <v>-1.3692527074535403E-2</v>
      </c>
      <c r="K152" s="3">
        <f t="shared" si="16"/>
        <v>-0.15384956570273089</v>
      </c>
      <c r="L152" s="3">
        <f t="shared" si="15"/>
        <v>-3.7614230269613076E-3</v>
      </c>
      <c r="M152" s="3">
        <f t="shared" si="14"/>
        <v>-5.9682916284276716E-3</v>
      </c>
      <c r="N152" s="3">
        <f t="shared" si="14"/>
        <v>-5.2913152805629804E-3</v>
      </c>
    </row>
    <row r="153" spans="1:14" x14ac:dyDescent="0.3">
      <c r="A153" s="2">
        <v>45812</v>
      </c>
      <c r="B153" s="3">
        <v>202.82</v>
      </c>
      <c r="C153" s="3">
        <v>141.91999999999999</v>
      </c>
      <c r="D153" s="3">
        <v>332.05</v>
      </c>
      <c r="E153" s="3">
        <v>37.29</v>
      </c>
      <c r="F153" s="3">
        <v>31.93</v>
      </c>
      <c r="G153" s="4">
        <v>5970.81</v>
      </c>
      <c r="H153" s="30"/>
      <c r="I153" s="3">
        <f t="shared" si="16"/>
        <v>-2.2162583870203399E-3</v>
      </c>
      <c r="J153" s="3">
        <f t="shared" si="16"/>
        <v>4.9445604730683941E-3</v>
      </c>
      <c r="K153" s="3">
        <f t="shared" si="16"/>
        <v>-3.6140673247457185E-2</v>
      </c>
      <c r="L153" s="3">
        <f t="shared" si="15"/>
        <v>-6.6818369676333008E-3</v>
      </c>
      <c r="M153" s="3">
        <f t="shared" si="14"/>
        <v>2.1947022447880945E-3</v>
      </c>
      <c r="N153" s="3">
        <f t="shared" si="14"/>
        <v>7.3694559532491577E-5</v>
      </c>
    </row>
    <row r="154" spans="1:14" x14ac:dyDescent="0.3">
      <c r="A154" s="2">
        <v>45811</v>
      </c>
      <c r="B154" s="3">
        <v>203.27</v>
      </c>
      <c r="C154" s="3">
        <v>141.22</v>
      </c>
      <c r="D154" s="3">
        <v>344.27</v>
      </c>
      <c r="E154" s="3">
        <v>37.54</v>
      </c>
      <c r="F154" s="3">
        <v>31.86</v>
      </c>
      <c r="G154" s="4">
        <v>5970.37</v>
      </c>
      <c r="H154" s="30"/>
      <c r="I154" s="3">
        <f t="shared" si="16"/>
        <v>7.7536996107045722E-3</v>
      </c>
      <c r="J154" s="3">
        <f t="shared" si="16"/>
        <v>2.7568149302465299E-2</v>
      </c>
      <c r="K154" s="3">
        <f t="shared" si="16"/>
        <v>4.5999848202144733E-3</v>
      </c>
      <c r="L154" s="3">
        <f t="shared" si="15"/>
        <v>5.8776551792195887E-3</v>
      </c>
      <c r="M154" s="3">
        <f t="shared" si="14"/>
        <v>1.9651979510417302E-2</v>
      </c>
      <c r="N154" s="3">
        <f t="shared" si="14"/>
        <v>5.7835040361739996E-3</v>
      </c>
    </row>
    <row r="155" spans="1:14" x14ac:dyDescent="0.3">
      <c r="A155" s="2">
        <v>45810</v>
      </c>
      <c r="B155" s="3">
        <v>201.7</v>
      </c>
      <c r="C155" s="3">
        <v>137.38</v>
      </c>
      <c r="D155" s="3">
        <v>342.69</v>
      </c>
      <c r="E155" s="3">
        <v>37.32</v>
      </c>
      <c r="F155" s="3">
        <v>31.24</v>
      </c>
      <c r="G155" s="4">
        <v>5935.94</v>
      </c>
      <c r="H155" s="30"/>
      <c r="I155" s="3">
        <f t="shared" si="16"/>
        <v>4.2230841548747573E-3</v>
      </c>
      <c r="J155" s="3">
        <f t="shared" si="16"/>
        <v>1.6513530735740779E-2</v>
      </c>
      <c r="K155" s="3">
        <f t="shared" si="16"/>
        <v>-1.0941123436829408E-2</v>
      </c>
      <c r="L155" s="3">
        <f t="shared" si="15"/>
        <v>7.2610242370472729E-3</v>
      </c>
      <c r="M155" s="3">
        <f t="shared" si="14"/>
        <v>-1.1141289842508636E-2</v>
      </c>
      <c r="N155" s="3">
        <f t="shared" si="14"/>
        <v>4.0936514501346477E-3</v>
      </c>
    </row>
    <row r="156" spans="1:14" x14ac:dyDescent="0.3">
      <c r="A156" s="2">
        <v>45807</v>
      </c>
      <c r="B156" s="3">
        <v>200.85</v>
      </c>
      <c r="C156" s="3">
        <v>135.13</v>
      </c>
      <c r="D156" s="3">
        <v>346.46</v>
      </c>
      <c r="E156" s="3">
        <v>37.049999999999997</v>
      </c>
      <c r="F156" s="3">
        <v>31.59</v>
      </c>
      <c r="G156" s="4">
        <v>5911.69</v>
      </c>
      <c r="H156" s="30"/>
      <c r="I156" s="3">
        <f t="shared" si="16"/>
        <v>4.4910255124638023E-3</v>
      </c>
      <c r="J156" s="3">
        <f t="shared" si="16"/>
        <v>-2.9602628189314469E-2</v>
      </c>
      <c r="K156" s="3">
        <f t="shared" si="16"/>
        <v>-3.3966011104025542E-2</v>
      </c>
      <c r="L156" s="3">
        <f t="shared" si="15"/>
        <v>-8.3322616185459841E-3</v>
      </c>
      <c r="M156" s="3">
        <f t="shared" si="14"/>
        <v>5.3959819865186179E-3</v>
      </c>
      <c r="N156" s="3">
        <f t="shared" si="14"/>
        <v>-8.119175975762441E-5</v>
      </c>
    </row>
    <row r="157" spans="1:14" x14ac:dyDescent="0.3">
      <c r="A157" s="2">
        <v>45806</v>
      </c>
      <c r="B157" s="3">
        <v>199.95</v>
      </c>
      <c r="C157" s="3">
        <v>139.19</v>
      </c>
      <c r="D157" s="3">
        <v>358.43</v>
      </c>
      <c r="E157" s="3">
        <v>37.36</v>
      </c>
      <c r="F157" s="3">
        <v>31.42</v>
      </c>
      <c r="G157" s="4">
        <v>5912.17</v>
      </c>
      <c r="H157" s="30"/>
      <c r="I157" s="3">
        <f t="shared" si="16"/>
        <v>-2.3478293373554809E-3</v>
      </c>
      <c r="J157" s="3">
        <f t="shared" si="16"/>
        <v>3.1973526536336512E-2</v>
      </c>
      <c r="K157" s="3">
        <f t="shared" si="16"/>
        <v>4.2777524587056621E-3</v>
      </c>
      <c r="L157" s="3">
        <f t="shared" si="15"/>
        <v>1.8368965972377756E-2</v>
      </c>
      <c r="M157" s="3">
        <f t="shared" si="14"/>
        <v>2.5493958996004274E-3</v>
      </c>
      <c r="N157" s="3">
        <f t="shared" si="14"/>
        <v>4.0031509167171844E-3</v>
      </c>
    </row>
    <row r="158" spans="1:14" x14ac:dyDescent="0.3">
      <c r="A158" s="2">
        <v>45805</v>
      </c>
      <c r="B158" s="3">
        <v>200.42</v>
      </c>
      <c r="C158" s="3">
        <v>134.81</v>
      </c>
      <c r="D158" s="3">
        <v>356.9</v>
      </c>
      <c r="E158" s="3">
        <v>36.68</v>
      </c>
      <c r="F158" s="3">
        <v>31.34</v>
      </c>
      <c r="G158" s="4">
        <v>5888.55</v>
      </c>
      <c r="H158" s="30"/>
      <c r="I158" s="3">
        <f t="shared" si="16"/>
        <v>1.0483489465745394E-3</v>
      </c>
      <c r="J158" s="3">
        <f t="shared" si="16"/>
        <v>-5.1052606167828691E-3</v>
      </c>
      <c r="K158" s="3">
        <f t="shared" si="16"/>
        <v>-1.6644127542745964E-2</v>
      </c>
      <c r="L158" s="3">
        <f t="shared" si="15"/>
        <v>-1.4883240496361342E-2</v>
      </c>
      <c r="M158" s="3">
        <f t="shared" si="14"/>
        <v>-2.8676138816014734E-3</v>
      </c>
      <c r="N158" s="3">
        <f t="shared" si="14"/>
        <v>-5.586762811582561E-3</v>
      </c>
    </row>
    <row r="159" spans="1:14" x14ac:dyDescent="0.3">
      <c r="A159" s="2">
        <v>45804</v>
      </c>
      <c r="B159" s="3">
        <v>200.21</v>
      </c>
      <c r="C159" s="3">
        <v>135.5</v>
      </c>
      <c r="D159" s="3">
        <v>362.89</v>
      </c>
      <c r="E159" s="3">
        <v>37.229999999999997</v>
      </c>
      <c r="F159" s="3">
        <v>31.43</v>
      </c>
      <c r="G159" s="4">
        <v>5921.54</v>
      </c>
      <c r="H159" s="30"/>
      <c r="I159" s="3">
        <f t="shared" si="16"/>
        <v>2.4983599431202347E-2</v>
      </c>
      <c r="J159" s="3">
        <f t="shared" si="16"/>
        <v>3.1563023373736614E-2</v>
      </c>
      <c r="K159" s="3">
        <f t="shared" si="16"/>
        <v>6.7097203424067164E-2</v>
      </c>
      <c r="L159" s="3">
        <f t="shared" si="15"/>
        <v>1.32488080976458E-2</v>
      </c>
      <c r="M159" s="3">
        <f t="shared" si="14"/>
        <v>1.9599020917506618E-2</v>
      </c>
      <c r="N159" s="3">
        <f t="shared" si="14"/>
        <v>2.025254391312099E-2</v>
      </c>
    </row>
    <row r="160" spans="1:14" x14ac:dyDescent="0.3">
      <c r="A160" s="2">
        <v>45800</v>
      </c>
      <c r="B160" s="3">
        <v>195.27</v>
      </c>
      <c r="C160" s="3">
        <v>131.29</v>
      </c>
      <c r="D160" s="3">
        <v>339.34</v>
      </c>
      <c r="E160" s="3">
        <v>36.74</v>
      </c>
      <c r="F160" s="3">
        <v>30.82</v>
      </c>
      <c r="G160" s="4">
        <v>5802.82</v>
      </c>
      <c r="H160" s="30"/>
      <c r="I160" s="3">
        <f t="shared" si="16"/>
        <v>-3.0711134574654807E-2</v>
      </c>
      <c r="J160" s="3">
        <f t="shared" si="16"/>
        <v>-1.1661498198393161E-2</v>
      </c>
      <c r="K160" s="3">
        <f t="shared" si="16"/>
        <v>-4.9972178421616061E-3</v>
      </c>
      <c r="L160" s="3">
        <f t="shared" si="15"/>
        <v>4.0911007558641892E-3</v>
      </c>
      <c r="M160" s="3">
        <f t="shared" si="14"/>
        <v>5.8574850195790883E-3</v>
      </c>
      <c r="N160" s="3">
        <f t="shared" si="14"/>
        <v>-6.7309094179872579E-3</v>
      </c>
    </row>
    <row r="161" spans="1:14" x14ac:dyDescent="0.3">
      <c r="A161" s="2">
        <v>45799</v>
      </c>
      <c r="B161" s="3">
        <v>201.36</v>
      </c>
      <c r="C161" s="3">
        <v>132.83000000000001</v>
      </c>
      <c r="D161" s="3">
        <v>341.04</v>
      </c>
      <c r="E161" s="3">
        <v>36.590000000000003</v>
      </c>
      <c r="F161" s="3">
        <v>30.64</v>
      </c>
      <c r="G161" s="4">
        <v>5842.01</v>
      </c>
      <c r="H161" s="30"/>
      <c r="I161" s="3">
        <f t="shared" si="16"/>
        <v>-3.6187919030965495E-3</v>
      </c>
      <c r="J161" s="3">
        <f t="shared" si="16"/>
        <v>7.7844930760050191E-3</v>
      </c>
      <c r="K161" s="3">
        <f t="shared" si="16"/>
        <v>1.9004212827437507E-2</v>
      </c>
      <c r="L161" s="3">
        <f t="shared" si="15"/>
        <v>-1.6384493015449227E-3</v>
      </c>
      <c r="M161" s="3">
        <f t="shared" si="14"/>
        <v>4.9075838722271057E-3</v>
      </c>
      <c r="N161" s="3">
        <f t="shared" si="14"/>
        <v>-4.4495329580252299E-4</v>
      </c>
    </row>
    <row r="162" spans="1:14" x14ac:dyDescent="0.3">
      <c r="A162" s="2">
        <v>45798</v>
      </c>
      <c r="B162" s="3">
        <v>202.09</v>
      </c>
      <c r="C162" s="3">
        <v>131.80000000000001</v>
      </c>
      <c r="D162" s="3">
        <v>334.62</v>
      </c>
      <c r="E162" s="3">
        <v>36.65</v>
      </c>
      <c r="F162" s="3">
        <v>30.49</v>
      </c>
      <c r="G162" s="4">
        <v>5844.61</v>
      </c>
      <c r="H162" s="30"/>
      <c r="I162" s="3">
        <f t="shared" si="16"/>
        <v>-2.3329093219500632E-2</v>
      </c>
      <c r="J162" s="3">
        <f t="shared" si="16"/>
        <v>-1.9385985423596916E-2</v>
      </c>
      <c r="K162" s="3">
        <f t="shared" si="16"/>
        <v>-2.7122704983830095E-2</v>
      </c>
      <c r="L162" s="3">
        <f t="shared" si="15"/>
        <v>-1.8651709780916143E-2</v>
      </c>
      <c r="M162" s="3">
        <f t="shared" si="14"/>
        <v>-2.3980410294823829E-2</v>
      </c>
      <c r="N162" s="3">
        <f t="shared" si="14"/>
        <v>-1.6266702451148567E-2</v>
      </c>
    </row>
    <row r="163" spans="1:14" x14ac:dyDescent="0.3">
      <c r="A163" s="2">
        <v>45797</v>
      </c>
      <c r="B163" s="3">
        <v>206.86</v>
      </c>
      <c r="C163" s="3">
        <v>134.38</v>
      </c>
      <c r="D163" s="3">
        <v>343.82</v>
      </c>
      <c r="E163" s="3">
        <v>37.340000000000003</v>
      </c>
      <c r="F163" s="3">
        <v>31.23</v>
      </c>
      <c r="G163" s="4">
        <v>5940.46</v>
      </c>
      <c r="H163" s="30"/>
      <c r="I163" s="3">
        <f t="shared" si="16"/>
        <v>-9.2388300304947473E-3</v>
      </c>
      <c r="J163" s="3">
        <f t="shared" si="16"/>
        <v>-8.8165045992940425E-3</v>
      </c>
      <c r="K163" s="3">
        <f t="shared" si="16"/>
        <v>5.0444042759707226E-3</v>
      </c>
      <c r="L163" s="3">
        <f t="shared" si="15"/>
        <v>-1.5149791414666708E-2</v>
      </c>
      <c r="M163" s="3">
        <f t="shared" si="14"/>
        <v>6.4061501229920785E-4</v>
      </c>
      <c r="N163" s="3">
        <f t="shared" si="14"/>
        <v>-3.8877541185178555E-3</v>
      </c>
    </row>
    <row r="164" spans="1:14" x14ac:dyDescent="0.3">
      <c r="A164" s="2">
        <v>45796</v>
      </c>
      <c r="B164" s="3">
        <v>208.78</v>
      </c>
      <c r="C164" s="3">
        <v>135.57</v>
      </c>
      <c r="D164" s="3">
        <v>342.09</v>
      </c>
      <c r="E164" s="3">
        <v>37.909999999999997</v>
      </c>
      <c r="F164" s="3">
        <v>31.21</v>
      </c>
      <c r="G164" s="4">
        <v>5963.6</v>
      </c>
      <c r="H164" s="30"/>
      <c r="I164" s="3">
        <f t="shared" si="16"/>
        <v>-1.1808536414863721E-2</v>
      </c>
      <c r="J164" s="3">
        <f t="shared" si="16"/>
        <v>1.2547516131233539E-3</v>
      </c>
      <c r="K164" s="3">
        <f t="shared" si="16"/>
        <v>-2.2802149656224655E-2</v>
      </c>
      <c r="L164" s="3">
        <f t="shared" si="15"/>
        <v>3.1704121668459035E-3</v>
      </c>
      <c r="M164" s="3">
        <f t="shared" si="14"/>
        <v>-3.5183148399142829E-3</v>
      </c>
      <c r="N164" s="3">
        <f t="shared" si="14"/>
        <v>8.7569352298437302E-4</v>
      </c>
    </row>
    <row r="165" spans="1:14" x14ac:dyDescent="0.3">
      <c r="A165" s="2">
        <v>45793</v>
      </c>
      <c r="B165" s="3">
        <v>211.26</v>
      </c>
      <c r="C165" s="3">
        <v>135.4</v>
      </c>
      <c r="D165" s="3">
        <v>349.98</v>
      </c>
      <c r="E165" s="3">
        <v>37.79</v>
      </c>
      <c r="F165" s="3">
        <v>31.32</v>
      </c>
      <c r="G165" s="4">
        <v>5958.38</v>
      </c>
      <c r="H165" s="30"/>
      <c r="I165" s="3">
        <f t="shared" si="16"/>
        <v>-8.9896152348143657E-4</v>
      </c>
      <c r="J165" s="3">
        <f t="shared" si="16"/>
        <v>4.2186348321912601E-3</v>
      </c>
      <c r="K165" s="3">
        <f t="shared" si="16"/>
        <v>2.0670481914690356E-2</v>
      </c>
      <c r="L165" s="3">
        <f t="shared" si="15"/>
        <v>1.5889833851786624E-3</v>
      </c>
      <c r="M165" s="3">
        <f t="shared" si="14"/>
        <v>6.3877357649476125E-4</v>
      </c>
      <c r="N165" s="3">
        <f t="shared" si="14"/>
        <v>6.9808987439629782E-3</v>
      </c>
    </row>
    <row r="166" spans="1:14" x14ac:dyDescent="0.3">
      <c r="A166" s="2">
        <v>45792</v>
      </c>
      <c r="B166" s="3">
        <v>211.45</v>
      </c>
      <c r="C166" s="3">
        <v>134.83000000000001</v>
      </c>
      <c r="D166" s="3">
        <v>342.82</v>
      </c>
      <c r="E166" s="3">
        <v>37.729999999999997</v>
      </c>
      <c r="F166" s="3">
        <v>31.3</v>
      </c>
      <c r="G166" s="4">
        <v>5916.93</v>
      </c>
      <c r="H166" s="30"/>
      <c r="I166" s="3">
        <f t="shared" si="16"/>
        <v>-4.1531042752048983E-3</v>
      </c>
      <c r="J166" s="3">
        <f t="shared" si="16"/>
        <v>-3.7754051580962109E-3</v>
      </c>
      <c r="K166" s="3">
        <f t="shared" si="16"/>
        <v>-1.4076988429208612E-2</v>
      </c>
      <c r="L166" s="3">
        <f t="shared" si="15"/>
        <v>-2.9112102074586644E-3</v>
      </c>
      <c r="M166" s="3">
        <f t="shared" si="14"/>
        <v>8.663619085818728E-3</v>
      </c>
      <c r="N166" s="3">
        <f t="shared" si="14"/>
        <v>4.1238009887726761E-3</v>
      </c>
    </row>
    <row r="167" spans="1:14" x14ac:dyDescent="0.3">
      <c r="A167" s="2">
        <v>45791</v>
      </c>
      <c r="B167" s="3">
        <v>212.33</v>
      </c>
      <c r="C167" s="3">
        <v>135.34</v>
      </c>
      <c r="D167" s="3">
        <v>347.68</v>
      </c>
      <c r="E167" s="3">
        <v>37.840000000000003</v>
      </c>
      <c r="F167" s="3">
        <v>31.03</v>
      </c>
      <c r="G167" s="4">
        <v>5892.58</v>
      </c>
      <c r="H167" s="30"/>
      <c r="I167" s="3">
        <f t="shared" si="16"/>
        <v>-2.8218050046047607E-3</v>
      </c>
      <c r="J167" s="3">
        <f t="shared" si="16"/>
        <v>4.079428690943445E-2</v>
      </c>
      <c r="K167" s="3">
        <f t="shared" si="16"/>
        <v>3.9931964652091589E-2</v>
      </c>
      <c r="L167" s="3">
        <f t="shared" si="15"/>
        <v>-8.9450741139239058E-3</v>
      </c>
      <c r="M167" s="3">
        <f t="shared" si="14"/>
        <v>1.5917178669802592E-2</v>
      </c>
      <c r="N167" s="3">
        <f t="shared" si="14"/>
        <v>1.0238448046247569E-3</v>
      </c>
    </row>
    <row r="168" spans="1:14" x14ac:dyDescent="0.3">
      <c r="A168" s="2">
        <v>45790</v>
      </c>
      <c r="B168" s="3">
        <v>212.93</v>
      </c>
      <c r="C168" s="3">
        <v>129.93</v>
      </c>
      <c r="D168" s="3">
        <v>334.07</v>
      </c>
      <c r="E168" s="3">
        <v>38.18</v>
      </c>
      <c r="F168" s="3">
        <v>30.54</v>
      </c>
      <c r="G168" s="4">
        <v>5886.55</v>
      </c>
      <c r="I168" s="3">
        <f t="shared" si="16"/>
        <v>1.0101095986503919E-2</v>
      </c>
      <c r="J168" s="3">
        <f t="shared" si="16"/>
        <v>5.4811488522227544E-2</v>
      </c>
      <c r="K168" s="3">
        <f t="shared" si="16"/>
        <v>4.8104913929037998E-2</v>
      </c>
      <c r="L168" s="3">
        <f t="shared" si="15"/>
        <v>1.4775994424717206E-2</v>
      </c>
      <c r="M168" s="3">
        <f t="shared" si="14"/>
        <v>7.5596087207746906E-3</v>
      </c>
      <c r="N168" s="3">
        <f t="shared" si="14"/>
        <v>7.2220821737149429E-3</v>
      </c>
    </row>
    <row r="169" spans="1:14" x14ac:dyDescent="0.3">
      <c r="A169" s="2">
        <v>45789</v>
      </c>
      <c r="B169" s="3">
        <v>210.79</v>
      </c>
      <c r="C169" s="3">
        <v>123</v>
      </c>
      <c r="D169" s="3">
        <v>318.38</v>
      </c>
      <c r="E169" s="3">
        <v>37.619999999999997</v>
      </c>
      <c r="F169" s="3">
        <v>30.31</v>
      </c>
      <c r="G169" s="4">
        <v>5844.19</v>
      </c>
      <c r="I169" s="3">
        <f t="shared" si="16"/>
        <v>5.9922155002815725E-2</v>
      </c>
      <c r="J169" s="3">
        <f t="shared" si="16"/>
        <v>5.3006356904978548E-2</v>
      </c>
      <c r="K169" s="3">
        <f t="shared" si="16"/>
        <v>6.5280048592353646E-2</v>
      </c>
      <c r="L169" s="3">
        <f t="shared" si="15"/>
        <v>3.0497573424527965E-2</v>
      </c>
      <c r="M169" s="3">
        <f t="shared" si="14"/>
        <v>5.3187810418832852E-2</v>
      </c>
      <c r="N169" s="3">
        <f t="shared" si="14"/>
        <v>3.204001430944952E-2</v>
      </c>
    </row>
    <row r="170" spans="1:14" x14ac:dyDescent="0.3">
      <c r="A170" s="2">
        <v>45786</v>
      </c>
      <c r="B170" s="3">
        <v>198.53</v>
      </c>
      <c r="C170" s="3">
        <v>116.65</v>
      </c>
      <c r="D170" s="3">
        <v>298.26</v>
      </c>
      <c r="E170" s="3">
        <v>36.49</v>
      </c>
      <c r="F170" s="3">
        <v>28.74</v>
      </c>
      <c r="G170" s="4">
        <v>5659.91</v>
      </c>
      <c r="H170" s="30"/>
      <c r="I170" s="3">
        <f t="shared" si="16"/>
        <v>5.2522720610924155E-3</v>
      </c>
      <c r="J170" s="3">
        <f t="shared" si="16"/>
        <v>-6.153339644593539E-3</v>
      </c>
      <c r="K170" s="3">
        <f t="shared" si="16"/>
        <v>4.6108187543354544E-2</v>
      </c>
      <c r="L170" s="3">
        <f t="shared" si="15"/>
        <v>6.5988691476724518E-3</v>
      </c>
      <c r="M170" s="3">
        <f t="shared" si="14"/>
        <v>-7.6256868666368547E-3</v>
      </c>
      <c r="N170" s="3">
        <f t="shared" si="14"/>
        <v>-7.117720863733933E-4</v>
      </c>
    </row>
    <row r="171" spans="1:14" x14ac:dyDescent="0.3">
      <c r="A171" s="2">
        <v>45785</v>
      </c>
      <c r="B171" s="3">
        <v>197.49</v>
      </c>
      <c r="C171" s="3">
        <v>117.37</v>
      </c>
      <c r="D171" s="3">
        <v>284.82</v>
      </c>
      <c r="E171" s="3">
        <v>36.25</v>
      </c>
      <c r="F171" s="3">
        <v>28.96</v>
      </c>
      <c r="G171" s="4">
        <v>5663.94</v>
      </c>
      <c r="H171" s="30"/>
      <c r="I171" s="3">
        <f t="shared" si="16"/>
        <v>6.298593485377273E-3</v>
      </c>
      <c r="J171" s="3">
        <f t="shared" si="16"/>
        <v>2.6447142489577835E-3</v>
      </c>
      <c r="K171" s="3">
        <f t="shared" si="16"/>
        <v>3.0659752141498933E-2</v>
      </c>
      <c r="L171" s="3">
        <f t="shared" si="15"/>
        <v>-1.6538041255606587E-3</v>
      </c>
      <c r="M171" s="3">
        <f t="shared" si="14"/>
        <v>2.0583318696755535E-2</v>
      </c>
      <c r="N171" s="3">
        <f t="shared" si="14"/>
        <v>5.7829933406661335E-3</v>
      </c>
    </row>
    <row r="172" spans="1:14" x14ac:dyDescent="0.3">
      <c r="A172" s="2">
        <v>45784</v>
      </c>
      <c r="B172" s="3">
        <v>196.25</v>
      </c>
      <c r="C172" s="3">
        <v>117.06</v>
      </c>
      <c r="D172" s="3">
        <v>276.22000000000003</v>
      </c>
      <c r="E172" s="3">
        <v>36.31</v>
      </c>
      <c r="F172" s="3">
        <v>28.37</v>
      </c>
      <c r="G172" s="4">
        <v>5631.28</v>
      </c>
      <c r="H172" s="30"/>
      <c r="I172" s="3">
        <f t="shared" si="16"/>
        <v>-1.1450120029559962E-2</v>
      </c>
      <c r="J172" s="3">
        <f t="shared" si="16"/>
        <v>3.0531426120494677E-2</v>
      </c>
      <c r="K172" s="3">
        <f t="shared" si="16"/>
        <v>3.1546339412920166E-3</v>
      </c>
      <c r="L172" s="3">
        <f t="shared" si="15"/>
        <v>-2.475589216450439E-3</v>
      </c>
      <c r="M172" s="3">
        <f t="shared" si="14"/>
        <v>9.9186077046076737E-3</v>
      </c>
      <c r="N172" s="3">
        <f t="shared" si="14"/>
        <v>4.3370041259597454E-3</v>
      </c>
    </row>
    <row r="173" spans="1:14" x14ac:dyDescent="0.3">
      <c r="A173" s="2">
        <v>45783</v>
      </c>
      <c r="B173" s="3">
        <v>198.51</v>
      </c>
      <c r="C173" s="3">
        <v>113.54</v>
      </c>
      <c r="D173" s="3">
        <v>275.35000000000002</v>
      </c>
      <c r="E173" s="3">
        <v>36.4</v>
      </c>
      <c r="F173" s="3">
        <v>28.09</v>
      </c>
      <c r="G173" s="4">
        <v>5606.91</v>
      </c>
      <c r="H173" s="30"/>
      <c r="I173" s="3">
        <f t="shared" si="16"/>
        <v>-1.9124313830772783E-3</v>
      </c>
      <c r="J173" s="3">
        <f t="shared" si="16"/>
        <v>-2.4630554323975258E-3</v>
      </c>
      <c r="K173" s="3">
        <f t="shared" si="16"/>
        <v>-1.7674728033581034E-2</v>
      </c>
      <c r="L173" s="3">
        <f t="shared" si="15"/>
        <v>-9.5694510161507852E-3</v>
      </c>
      <c r="M173" s="3">
        <f t="shared" si="14"/>
        <v>-1.3437260173793835E-2</v>
      </c>
      <c r="N173" s="3">
        <f t="shared" si="14"/>
        <v>-7.7230338855465552E-3</v>
      </c>
    </row>
    <row r="174" spans="1:14" x14ac:dyDescent="0.3">
      <c r="A174" s="2">
        <v>45782</v>
      </c>
      <c r="B174" s="3">
        <v>198.89</v>
      </c>
      <c r="C174" s="3">
        <v>113.82</v>
      </c>
      <c r="D174" s="3">
        <v>280.26</v>
      </c>
      <c r="E174" s="3">
        <v>36.75</v>
      </c>
      <c r="F174" s="3">
        <v>28.47</v>
      </c>
      <c r="G174" s="4">
        <v>5650.38</v>
      </c>
      <c r="H174" s="30"/>
      <c r="I174" s="3">
        <f t="shared" si="16"/>
        <v>-3.19639323274125E-2</v>
      </c>
      <c r="J174" s="3">
        <f t="shared" si="16"/>
        <v>-5.9565698193165236E-3</v>
      </c>
      <c r="K174" s="3">
        <f t="shared" si="16"/>
        <v>-2.4495911767336329E-2</v>
      </c>
      <c r="L174" s="3">
        <f t="shared" si="15"/>
        <v>-9.47874395454377E-3</v>
      </c>
      <c r="M174" s="3">
        <f t="shared" si="14"/>
        <v>-8.0462214756292592E-3</v>
      </c>
      <c r="N174" s="3">
        <f t="shared" si="14"/>
        <v>-6.4020400278313339E-3</v>
      </c>
    </row>
    <row r="175" spans="1:14" x14ac:dyDescent="0.3">
      <c r="A175" s="2">
        <v>45779</v>
      </c>
      <c r="B175" s="3">
        <v>205.35</v>
      </c>
      <c r="C175" s="3">
        <v>114.5</v>
      </c>
      <c r="D175" s="3">
        <v>287.20999999999998</v>
      </c>
      <c r="E175" s="3">
        <v>37.1</v>
      </c>
      <c r="F175" s="3">
        <v>28.7</v>
      </c>
      <c r="G175" s="4">
        <v>5686.67</v>
      </c>
      <c r="H175" s="30"/>
      <c r="I175" s="3">
        <f t="shared" si="16"/>
        <v>-3.8077545329833914E-2</v>
      </c>
      <c r="J175" s="3">
        <f t="shared" si="16"/>
        <v>2.5564171326670906E-2</v>
      </c>
      <c r="K175" s="3">
        <f t="shared" si="16"/>
        <v>2.3568631840698327E-2</v>
      </c>
      <c r="L175" s="3">
        <f t="shared" si="15"/>
        <v>2.4834132037738394E-2</v>
      </c>
      <c r="M175" s="3">
        <f t="shared" si="14"/>
        <v>2.0771737847135013E-2</v>
      </c>
      <c r="N175" s="3">
        <f t="shared" si="14"/>
        <v>1.4619229243407843E-2</v>
      </c>
    </row>
    <row r="176" spans="1:14" x14ac:dyDescent="0.3">
      <c r="A176" s="2">
        <v>45778</v>
      </c>
      <c r="B176" s="3">
        <v>213.32</v>
      </c>
      <c r="C176" s="3">
        <v>111.61</v>
      </c>
      <c r="D176" s="3">
        <v>280.52</v>
      </c>
      <c r="E176" s="3">
        <v>36.19</v>
      </c>
      <c r="F176" s="3">
        <v>28.11</v>
      </c>
      <c r="G176" s="4">
        <v>5604.14</v>
      </c>
      <c r="H176" s="30"/>
      <c r="I176" s="3">
        <f t="shared" si="16"/>
        <v>3.8513973679298731E-3</v>
      </c>
      <c r="J176" s="3">
        <f t="shared" si="16"/>
        <v>2.4396983862064587E-2</v>
      </c>
      <c r="K176" s="3">
        <f t="shared" si="16"/>
        <v>-5.8292622590870426E-3</v>
      </c>
      <c r="L176" s="3">
        <f t="shared" si="15"/>
        <v>2.20710174359223E-2</v>
      </c>
      <c r="M176" s="3">
        <f t="shared" si="14"/>
        <v>1.4239945446494263E-3</v>
      </c>
      <c r="N176" s="3">
        <f t="shared" si="14"/>
        <v>6.2793318417251861E-3</v>
      </c>
    </row>
    <row r="177" spans="1:14" x14ac:dyDescent="0.3">
      <c r="A177" s="2">
        <v>45777</v>
      </c>
      <c r="B177" s="3">
        <v>212.5</v>
      </c>
      <c r="C177" s="3">
        <v>108.92</v>
      </c>
      <c r="D177" s="3">
        <v>282.16000000000003</v>
      </c>
      <c r="E177" s="3">
        <v>35.4</v>
      </c>
      <c r="F177" s="3">
        <v>28.07</v>
      </c>
      <c r="G177" s="4">
        <v>5569.06</v>
      </c>
      <c r="I177" s="3">
        <f t="shared" si="16"/>
        <v>6.0890891684208118E-3</v>
      </c>
      <c r="J177" s="3">
        <f t="shared" si="16"/>
        <v>-9.1768383057596746E-4</v>
      </c>
      <c r="K177" s="3">
        <f t="shared" si="16"/>
        <v>-3.4382250789148187E-2</v>
      </c>
      <c r="L177" s="3">
        <f t="shared" si="15"/>
        <v>-1.4582423294270163E-2</v>
      </c>
      <c r="M177" s="3">
        <f t="shared" si="14"/>
        <v>7.1275840508581826E-4</v>
      </c>
      <c r="N177" s="3">
        <f t="shared" si="14"/>
        <v>1.4789007797954687E-3</v>
      </c>
    </row>
    <row r="178" spans="1:14" x14ac:dyDescent="0.3">
      <c r="A178" s="2">
        <v>45776</v>
      </c>
      <c r="B178" s="3">
        <v>211.21</v>
      </c>
      <c r="C178" s="3">
        <v>109.02</v>
      </c>
      <c r="D178" s="3">
        <v>292.02999999999997</v>
      </c>
      <c r="E178" s="3">
        <v>35.92</v>
      </c>
      <c r="F178" s="3">
        <v>28.05</v>
      </c>
      <c r="G178" s="4">
        <v>5560.83</v>
      </c>
      <c r="I178" s="3">
        <f t="shared" si="16"/>
        <v>5.0789239354215587E-3</v>
      </c>
      <c r="J178" s="3">
        <f t="shared" si="16"/>
        <v>2.6636066264767292E-3</v>
      </c>
      <c r="K178" s="3">
        <f t="shared" si="16"/>
        <v>2.1284394365166676E-2</v>
      </c>
      <c r="L178" s="3">
        <f t="shared" si="15"/>
        <v>-8.0410803435508969E-3</v>
      </c>
      <c r="M178" s="3">
        <f t="shared" si="14"/>
        <v>6.4377904748485169E-3</v>
      </c>
      <c r="N178" s="3">
        <f t="shared" si="14"/>
        <v>5.7856274963946795E-3</v>
      </c>
    </row>
    <row r="179" spans="1:14" x14ac:dyDescent="0.3">
      <c r="A179" s="2">
        <v>45775</v>
      </c>
      <c r="B179" s="3">
        <v>210.14</v>
      </c>
      <c r="C179" s="3">
        <v>108.73</v>
      </c>
      <c r="D179" s="3">
        <v>285.88</v>
      </c>
      <c r="E179" s="3">
        <v>36.21</v>
      </c>
      <c r="F179" s="3">
        <v>27.87</v>
      </c>
      <c r="G179" s="4">
        <v>5528.75</v>
      </c>
      <c r="I179" s="3">
        <f t="shared" si="16"/>
        <v>4.1009069917952523E-3</v>
      </c>
      <c r="J179" s="3">
        <f t="shared" si="16"/>
        <v>-2.0752542334897719E-2</v>
      </c>
      <c r="K179" s="3">
        <f t="shared" si="16"/>
        <v>3.2584160707696359E-3</v>
      </c>
      <c r="L179" s="3">
        <f t="shared" si="15"/>
        <v>-6.6061346771173896E-3</v>
      </c>
      <c r="M179" s="3">
        <f t="shared" si="14"/>
        <v>1.0770060276379661E-3</v>
      </c>
      <c r="N179" s="3">
        <f t="shared" si="14"/>
        <v>6.4049446913477337E-4</v>
      </c>
    </row>
    <row r="180" spans="1:14" x14ac:dyDescent="0.3">
      <c r="A180" s="2">
        <v>45772</v>
      </c>
      <c r="B180" s="3">
        <v>209.28</v>
      </c>
      <c r="C180" s="3">
        <v>111.01</v>
      </c>
      <c r="D180" s="3">
        <v>284.95</v>
      </c>
      <c r="E180" s="3">
        <v>36.450000000000003</v>
      </c>
      <c r="F180" s="3">
        <v>27.84</v>
      </c>
      <c r="G180" s="4">
        <v>5525.21</v>
      </c>
      <c r="I180" s="3">
        <f t="shared" si="16"/>
        <v>4.3577226867250411E-3</v>
      </c>
      <c r="J180" s="3">
        <f t="shared" si="16"/>
        <v>4.2132795291602881E-2</v>
      </c>
      <c r="K180" s="3">
        <f t="shared" si="16"/>
        <v>9.3518488772072139E-2</v>
      </c>
      <c r="L180" s="3">
        <f t="shared" si="15"/>
        <v>1.9222853646910091E-3</v>
      </c>
      <c r="M180" s="3">
        <f t="shared" si="14"/>
        <v>-1.0718216220024147E-2</v>
      </c>
      <c r="N180" s="3">
        <f t="shared" si="14"/>
        <v>7.3460954265644985E-3</v>
      </c>
    </row>
    <row r="181" spans="1:14" x14ac:dyDescent="0.3">
      <c r="A181" s="2">
        <v>45771</v>
      </c>
      <c r="B181" s="3">
        <v>208.37</v>
      </c>
      <c r="C181" s="3">
        <v>106.43</v>
      </c>
      <c r="D181" s="3">
        <v>259.51</v>
      </c>
      <c r="E181" s="3">
        <v>36.380000000000003</v>
      </c>
      <c r="F181" s="3">
        <v>28.14</v>
      </c>
      <c r="G181" s="4">
        <v>5484.77</v>
      </c>
      <c r="I181" s="3">
        <f t="shared" si="16"/>
        <v>1.8258492064582833E-2</v>
      </c>
      <c r="J181" s="3">
        <f t="shared" si="16"/>
        <v>3.5578008875240007E-2</v>
      </c>
      <c r="K181" s="3">
        <f t="shared" si="16"/>
        <v>3.437869182105744E-2</v>
      </c>
      <c r="L181" s="3">
        <f t="shared" si="15"/>
        <v>1.3560467930460432E-2</v>
      </c>
      <c r="M181" s="3">
        <f t="shared" si="14"/>
        <v>1.9738663457048309E-2</v>
      </c>
      <c r="N181" s="3">
        <f t="shared" si="14"/>
        <v>2.005659908960853E-2</v>
      </c>
    </row>
    <row r="182" spans="1:14" x14ac:dyDescent="0.3">
      <c r="A182" s="2">
        <v>45770</v>
      </c>
      <c r="B182" s="3">
        <v>204.6</v>
      </c>
      <c r="C182" s="3">
        <v>102.71</v>
      </c>
      <c r="D182" s="3">
        <v>250.74</v>
      </c>
      <c r="E182" s="3">
        <v>35.89</v>
      </c>
      <c r="F182" s="3">
        <v>27.59</v>
      </c>
      <c r="G182" s="4">
        <v>5375.86</v>
      </c>
      <c r="I182" s="3">
        <f t="shared" si="16"/>
        <v>2.4040332702537383E-2</v>
      </c>
      <c r="J182" s="3">
        <f t="shared" si="16"/>
        <v>3.7901361895813487E-2</v>
      </c>
      <c r="K182" s="3">
        <f t="shared" si="16"/>
        <v>5.2271930381594348E-2</v>
      </c>
      <c r="L182" s="3">
        <f t="shared" si="15"/>
        <v>-6.6556544855721572E-2</v>
      </c>
      <c r="M182" s="3">
        <f t="shared" si="14"/>
        <v>-6.8629490970030125E-3</v>
      </c>
      <c r="N182" s="3">
        <f t="shared" si="14"/>
        <v>1.6523845474794581E-2</v>
      </c>
    </row>
    <row r="183" spans="1:14" x14ac:dyDescent="0.3">
      <c r="A183" s="2">
        <v>45769</v>
      </c>
      <c r="B183" s="3">
        <v>199.74</v>
      </c>
      <c r="C183" s="3">
        <v>98.89</v>
      </c>
      <c r="D183" s="3">
        <v>237.97</v>
      </c>
      <c r="E183" s="3">
        <v>38.36</v>
      </c>
      <c r="F183" s="3">
        <v>27.78</v>
      </c>
      <c r="G183" s="4">
        <v>5287.76</v>
      </c>
      <c r="I183" s="3">
        <f t="shared" si="16"/>
        <v>3.3497659809647508E-2</v>
      </c>
      <c r="J183" s="3">
        <f t="shared" si="16"/>
        <v>2.0225408535440817E-2</v>
      </c>
      <c r="K183" s="3">
        <f t="shared" si="16"/>
        <v>4.499437691527957E-2</v>
      </c>
      <c r="L183" s="3">
        <f t="shared" si="15"/>
        <v>1.4706147389695487E-2</v>
      </c>
      <c r="M183" s="3">
        <f t="shared" si="14"/>
        <v>1.1585936986372673E-2</v>
      </c>
      <c r="N183" s="3">
        <f t="shared" si="14"/>
        <v>2.4807034313980802E-2</v>
      </c>
    </row>
    <row r="184" spans="1:14" x14ac:dyDescent="0.3">
      <c r="A184" s="2">
        <v>45768</v>
      </c>
      <c r="B184" s="3">
        <v>193.16</v>
      </c>
      <c r="C184" s="3">
        <v>96.91</v>
      </c>
      <c r="D184" s="3">
        <v>227.5</v>
      </c>
      <c r="E184" s="3">
        <v>37.799999999999997</v>
      </c>
      <c r="F184" s="3">
        <v>27.46</v>
      </c>
      <c r="G184" s="4">
        <v>5158.2</v>
      </c>
      <c r="I184" s="3">
        <f t="shared" si="16"/>
        <v>-1.9583339736215177E-2</v>
      </c>
      <c r="J184" s="3">
        <f t="shared" si="16"/>
        <v>-4.6177558714268076E-2</v>
      </c>
      <c r="K184" s="3">
        <f t="shared" si="16"/>
        <v>-5.9180787487503148E-2</v>
      </c>
      <c r="L184" s="3">
        <f t="shared" si="15"/>
        <v>-2.8942184370920207E-2</v>
      </c>
      <c r="M184" s="3">
        <f t="shared" si="14"/>
        <v>-7.9797304096438145E-3</v>
      </c>
      <c r="N184" s="3">
        <f t="shared" si="14"/>
        <v>-2.3849649226388613E-2</v>
      </c>
    </row>
    <row r="185" spans="1:14" x14ac:dyDescent="0.3">
      <c r="A185" s="2">
        <v>45764</v>
      </c>
      <c r="B185" s="3">
        <v>196.98</v>
      </c>
      <c r="C185" s="3">
        <v>101.49</v>
      </c>
      <c r="D185" s="3">
        <v>241.37</v>
      </c>
      <c r="E185" s="3">
        <v>38.909999999999997</v>
      </c>
      <c r="F185" s="3">
        <v>27.68</v>
      </c>
      <c r="G185" s="4">
        <v>5282.7</v>
      </c>
      <c r="I185" s="3">
        <f t="shared" si="16"/>
        <v>1.385325669086682E-2</v>
      </c>
      <c r="J185" s="3">
        <f t="shared" si="16"/>
        <v>-2.9131101585292748E-2</v>
      </c>
      <c r="K185" s="3">
        <f t="shared" si="16"/>
        <v>-7.4546512190748308E-4</v>
      </c>
      <c r="L185" s="3">
        <f t="shared" si="15"/>
        <v>2.024991312698966E-2</v>
      </c>
      <c r="M185" s="3">
        <f t="shared" si="14"/>
        <v>1.199360188147847E-2</v>
      </c>
      <c r="N185" s="3">
        <f t="shared" si="14"/>
        <v>1.3259586728286152E-3</v>
      </c>
    </row>
    <row r="186" spans="1:14" x14ac:dyDescent="0.3">
      <c r="A186" s="2">
        <v>45763</v>
      </c>
      <c r="B186" s="3">
        <v>194.27</v>
      </c>
      <c r="C186" s="3">
        <v>104.49</v>
      </c>
      <c r="D186" s="3">
        <v>241.55</v>
      </c>
      <c r="E186" s="3">
        <v>38.130000000000003</v>
      </c>
      <c r="F186" s="3">
        <v>27.35</v>
      </c>
      <c r="G186" s="4">
        <v>5275.7</v>
      </c>
      <c r="I186" s="3">
        <f t="shared" si="16"/>
        <v>-3.9711582595827098E-2</v>
      </c>
      <c r="J186" s="3">
        <f t="shared" si="16"/>
        <v>-7.1191620042576551E-2</v>
      </c>
      <c r="K186" s="3">
        <f t="shared" si="16"/>
        <v>-5.0690753136140534E-2</v>
      </c>
      <c r="L186" s="3">
        <f t="shared" si="15"/>
        <v>-7.8647271061326493E-4</v>
      </c>
      <c r="M186" s="3">
        <f t="shared" si="14"/>
        <v>-1.991015995932964E-2</v>
      </c>
      <c r="N186" s="3">
        <f t="shared" si="14"/>
        <v>-2.2663312700996363E-2</v>
      </c>
    </row>
    <row r="187" spans="1:14" x14ac:dyDescent="0.3">
      <c r="A187" s="2">
        <v>45762</v>
      </c>
      <c r="B187" s="3">
        <v>202.14</v>
      </c>
      <c r="C187" s="3">
        <v>112.2</v>
      </c>
      <c r="D187" s="3">
        <v>254.11</v>
      </c>
      <c r="E187" s="3">
        <v>38.159999999999997</v>
      </c>
      <c r="F187" s="3">
        <v>27.9</v>
      </c>
      <c r="G187" s="4">
        <v>5396.63</v>
      </c>
      <c r="I187" s="3">
        <f t="shared" si="16"/>
        <v>-1.8781204551920384E-3</v>
      </c>
      <c r="J187" s="3">
        <f t="shared" si="16"/>
        <v>1.3368823217220485E-2</v>
      </c>
      <c r="K187" s="3">
        <f t="shared" si="16"/>
        <v>6.950231350284759E-3</v>
      </c>
      <c r="L187" s="3">
        <f t="shared" si="15"/>
        <v>9.2142286772440574E-3</v>
      </c>
      <c r="M187" s="3">
        <f t="shared" si="14"/>
        <v>-1.3174482878179116E-2</v>
      </c>
      <c r="N187" s="3">
        <f t="shared" si="14"/>
        <v>-1.7292137684181356E-3</v>
      </c>
    </row>
    <row r="188" spans="1:14" x14ac:dyDescent="0.3">
      <c r="A188" s="2">
        <v>45761</v>
      </c>
      <c r="B188" s="3">
        <v>202.52</v>
      </c>
      <c r="C188" s="3">
        <v>110.71</v>
      </c>
      <c r="D188" s="3">
        <v>252.35</v>
      </c>
      <c r="E188" s="3">
        <v>37.81</v>
      </c>
      <c r="F188" s="3">
        <v>28.27</v>
      </c>
      <c r="G188" s="4">
        <v>5405.97</v>
      </c>
      <c r="I188" s="3">
        <f t="shared" si="16"/>
        <v>2.1814327465264516E-2</v>
      </c>
      <c r="J188" s="3">
        <f t="shared" si="16"/>
        <v>-1.9852018791929812E-3</v>
      </c>
      <c r="K188" s="3">
        <f t="shared" si="16"/>
        <v>1.585225699826941E-4</v>
      </c>
      <c r="L188" s="3">
        <f t="shared" si="15"/>
        <v>-3.1687377979659711E-3</v>
      </c>
      <c r="M188" s="3">
        <f t="shared" si="14"/>
        <v>9.2395824334816426E-3</v>
      </c>
      <c r="N188" s="3">
        <f t="shared" si="14"/>
        <v>7.9132540931510648E-3</v>
      </c>
    </row>
    <row r="189" spans="1:14" x14ac:dyDescent="0.3">
      <c r="A189" s="2">
        <v>45758</v>
      </c>
      <c r="B189" s="3">
        <v>198.15</v>
      </c>
      <c r="C189" s="3">
        <v>110.93</v>
      </c>
      <c r="D189" s="3">
        <v>252.31</v>
      </c>
      <c r="E189" s="3">
        <v>37.93</v>
      </c>
      <c r="F189" s="3">
        <v>28.01</v>
      </c>
      <c r="G189" s="4">
        <v>5363.36</v>
      </c>
      <c r="I189" s="3">
        <f t="shared" si="16"/>
        <v>3.9792160778898779E-2</v>
      </c>
      <c r="J189" s="3">
        <f t="shared" si="16"/>
        <v>3.0757573306654296E-2</v>
      </c>
      <c r="K189" s="3">
        <f t="shared" si="16"/>
        <v>-3.5664045076955772E-4</v>
      </c>
      <c r="L189" s="3">
        <f t="shared" si="15"/>
        <v>3.4056113289248735E-2</v>
      </c>
      <c r="M189" s="3">
        <f t="shared" si="14"/>
        <v>6.8064027767203023E-3</v>
      </c>
      <c r="N189" s="3">
        <f t="shared" si="14"/>
        <v>1.7930369252113488E-2</v>
      </c>
    </row>
    <row r="190" spans="1:14" x14ac:dyDescent="0.3">
      <c r="A190" s="2">
        <v>45757</v>
      </c>
      <c r="B190" s="3">
        <v>190.42</v>
      </c>
      <c r="C190" s="3">
        <v>107.57</v>
      </c>
      <c r="D190" s="3">
        <v>252.4</v>
      </c>
      <c r="E190" s="3">
        <v>36.659999999999997</v>
      </c>
      <c r="F190" s="3">
        <v>27.82</v>
      </c>
      <c r="G190" s="4">
        <v>5268.05</v>
      </c>
      <c r="I190" s="3">
        <f t="shared" si="16"/>
        <v>-4.3318612796154309E-2</v>
      </c>
      <c r="J190" s="3">
        <f t="shared" si="16"/>
        <v>-6.0947205109964556E-2</v>
      </c>
      <c r="K190" s="3">
        <f t="shared" si="16"/>
        <v>-7.5521959550307549E-2</v>
      </c>
      <c r="L190" s="3">
        <f t="shared" si="15"/>
        <v>-5.5444513387797115E-2</v>
      </c>
      <c r="M190" s="3">
        <f t="shared" si="14"/>
        <v>-2.9747235904728879E-2</v>
      </c>
      <c r="N190" s="3">
        <f t="shared" si="14"/>
        <v>-3.5220587845117973E-2</v>
      </c>
    </row>
    <row r="191" spans="1:14" x14ac:dyDescent="0.3">
      <c r="A191" s="2">
        <v>45756</v>
      </c>
      <c r="B191" s="3">
        <v>198.85</v>
      </c>
      <c r="C191" s="3">
        <v>114.33</v>
      </c>
      <c r="D191" s="3">
        <v>272.2</v>
      </c>
      <c r="E191" s="3">
        <v>38.75</v>
      </c>
      <c r="F191" s="3">
        <v>28.66</v>
      </c>
      <c r="G191" s="4">
        <v>5456.9</v>
      </c>
      <c r="I191" s="3">
        <f t="shared" si="16"/>
        <v>0.14261741087192081</v>
      </c>
      <c r="J191" s="3">
        <f t="shared" si="16"/>
        <v>0.17162068474979875</v>
      </c>
      <c r="K191" s="3">
        <f t="shared" si="16"/>
        <v>0.20449053790685212</v>
      </c>
      <c r="L191" s="3">
        <f t="shared" si="15"/>
        <v>0.10178269430994238</v>
      </c>
      <c r="M191" s="3">
        <f t="shared" si="15"/>
        <v>7.1213458983593061E-2</v>
      </c>
      <c r="N191" s="3">
        <f t="shared" si="15"/>
        <v>9.0894901648714818E-2</v>
      </c>
    </row>
    <row r="192" spans="1:14" x14ac:dyDescent="0.3">
      <c r="A192" s="2">
        <v>45755</v>
      </c>
      <c r="B192" s="3">
        <v>172.42</v>
      </c>
      <c r="C192" s="3">
        <v>96.3</v>
      </c>
      <c r="D192" s="3">
        <v>221.86</v>
      </c>
      <c r="E192" s="3">
        <v>35</v>
      </c>
      <c r="F192" s="3">
        <v>26.69</v>
      </c>
      <c r="G192" s="4">
        <v>4982.7700000000004</v>
      </c>
      <c r="I192" s="3">
        <f t="shared" si="16"/>
        <v>-5.1101882959704026E-2</v>
      </c>
      <c r="J192" s="3">
        <f t="shared" si="16"/>
        <v>-1.3818926720679537E-2</v>
      </c>
      <c r="K192" s="3">
        <f t="shared" si="16"/>
        <v>-5.0235762532033747E-2</v>
      </c>
      <c r="L192" s="3">
        <f t="shared" si="15"/>
        <v>-2.008270011694346E-2</v>
      </c>
      <c r="M192" s="3">
        <f t="shared" si="15"/>
        <v>-1.4875692680570946E-2</v>
      </c>
      <c r="N192" s="3">
        <f t="shared" si="15"/>
        <v>-1.5825087196812301E-2</v>
      </c>
    </row>
    <row r="193" spans="1:14" x14ac:dyDescent="0.3">
      <c r="A193" s="2">
        <v>45754</v>
      </c>
      <c r="B193" s="3">
        <v>181.46</v>
      </c>
      <c r="C193" s="3">
        <v>97.64</v>
      </c>
      <c r="D193" s="3">
        <v>233.29</v>
      </c>
      <c r="E193" s="3">
        <v>35.71</v>
      </c>
      <c r="F193" s="3">
        <v>27.09</v>
      </c>
      <c r="G193" s="4">
        <v>5062.25</v>
      </c>
      <c r="I193" s="3">
        <f t="shared" si="16"/>
        <v>-3.7425955653188146E-2</v>
      </c>
      <c r="J193" s="3">
        <f t="shared" si="16"/>
        <v>3.4700016968965922E-2</v>
      </c>
      <c r="K193" s="3">
        <f t="shared" si="16"/>
        <v>-2.5978783713479968E-2</v>
      </c>
      <c r="L193" s="3">
        <f t="shared" si="15"/>
        <v>8.4364954825449055E-3</v>
      </c>
      <c r="M193" s="3">
        <f t="shared" si="15"/>
        <v>-4.4198966981512473E-3</v>
      </c>
      <c r="N193" s="3">
        <f t="shared" si="15"/>
        <v>-2.3341792090838189E-3</v>
      </c>
    </row>
    <row r="194" spans="1:14" x14ac:dyDescent="0.3">
      <c r="A194" s="2">
        <v>45751</v>
      </c>
      <c r="B194" s="3">
        <v>188.38</v>
      </c>
      <c r="C194" s="3">
        <v>94.31</v>
      </c>
      <c r="D194" s="3">
        <v>239.43</v>
      </c>
      <c r="E194" s="3">
        <v>35.409999999999997</v>
      </c>
      <c r="F194" s="3">
        <v>27.21</v>
      </c>
      <c r="G194" s="4">
        <v>5074.08</v>
      </c>
      <c r="I194" s="3">
        <f t="shared" si="16"/>
        <v>-7.5680302500250957E-2</v>
      </c>
      <c r="J194" s="3">
        <f t="shared" si="16"/>
        <v>-7.6422875560628892E-2</v>
      </c>
      <c r="K194" s="3">
        <f t="shared" si="16"/>
        <v>-0.11003569949247373</v>
      </c>
      <c r="L194" s="3">
        <f t="shared" si="15"/>
        <v>-0.14315732326566372</v>
      </c>
      <c r="M194" s="3">
        <f t="shared" si="15"/>
        <v>-2.826275073220709E-2</v>
      </c>
      <c r="N194" s="3">
        <f t="shared" si="15"/>
        <v>-6.160907367588022E-2</v>
      </c>
    </row>
    <row r="195" spans="1:14" x14ac:dyDescent="0.3">
      <c r="A195" s="2">
        <v>45750</v>
      </c>
      <c r="B195" s="3">
        <v>203.19</v>
      </c>
      <c r="C195" s="3">
        <v>101.8</v>
      </c>
      <c r="D195" s="3">
        <v>267.27999999999997</v>
      </c>
      <c r="E195" s="3">
        <v>40.86</v>
      </c>
      <c r="F195" s="3">
        <v>27.99</v>
      </c>
      <c r="G195" s="4">
        <v>5396.52</v>
      </c>
      <c r="I195" s="3">
        <f t="shared" si="16"/>
        <v>-9.7013357916483689E-2</v>
      </c>
      <c r="J195" s="3">
        <f t="shared" si="16"/>
        <v>-8.1281172739476215E-2</v>
      </c>
      <c r="K195" s="3">
        <f t="shared" si="16"/>
        <v>-5.6301683254252249E-2</v>
      </c>
      <c r="L195" s="3">
        <f t="shared" si="16"/>
        <v>-9.4731540480766444E-2</v>
      </c>
      <c r="M195" s="3">
        <f t="shared" si="16"/>
        <v>-6.0645637504646875E-2</v>
      </c>
      <c r="N195" s="3">
        <f t="shared" si="16"/>
        <v>-4.9605877563395052E-2</v>
      </c>
    </row>
    <row r="196" spans="1:14" x14ac:dyDescent="0.3">
      <c r="A196" s="2">
        <v>45749</v>
      </c>
      <c r="B196" s="3">
        <v>223.89</v>
      </c>
      <c r="C196" s="3">
        <v>110.42</v>
      </c>
      <c r="D196" s="3">
        <v>282.76</v>
      </c>
      <c r="E196" s="3">
        <v>44.92</v>
      </c>
      <c r="F196" s="3">
        <v>29.74</v>
      </c>
      <c r="G196" s="4">
        <v>5670.97</v>
      </c>
      <c r="I196" s="3">
        <f t="shared" ref="I196:L259" si="17">LN(B196/B197)</f>
        <v>3.1314331753118378E-3</v>
      </c>
      <c r="J196" s="3">
        <f t="shared" si="17"/>
        <v>2.4482036075463964E-3</v>
      </c>
      <c r="K196" s="3">
        <f t="shared" si="17"/>
        <v>5.1896554243263324E-2</v>
      </c>
      <c r="L196" s="3">
        <f t="shared" si="17"/>
        <v>2.6749904493030552E-3</v>
      </c>
      <c r="M196" s="3">
        <f t="shared" ref="M196:N259" si="18">LN(F196/F197)</f>
        <v>6.747663928775279E-3</v>
      </c>
      <c r="N196" s="3">
        <f t="shared" si="18"/>
        <v>6.7055923394208307E-3</v>
      </c>
    </row>
    <row r="197" spans="1:14" x14ac:dyDescent="0.3">
      <c r="A197" s="2">
        <v>45748</v>
      </c>
      <c r="B197" s="3">
        <v>223.19</v>
      </c>
      <c r="C197" s="3">
        <v>110.15</v>
      </c>
      <c r="D197" s="3">
        <v>268.45999999999998</v>
      </c>
      <c r="E197" s="3">
        <v>44.8</v>
      </c>
      <c r="F197" s="3">
        <v>29.54</v>
      </c>
      <c r="G197" s="4">
        <v>5633.07</v>
      </c>
      <c r="I197" s="3">
        <f t="shared" si="17"/>
        <v>4.7606305665627204E-3</v>
      </c>
      <c r="J197" s="3">
        <f t="shared" si="17"/>
        <v>1.6199503110384043E-2</v>
      </c>
      <c r="K197" s="3">
        <f t="shared" si="17"/>
        <v>3.5256295477733443E-2</v>
      </c>
      <c r="L197" s="3">
        <f t="shared" si="17"/>
        <v>1.9155515289753393E-2</v>
      </c>
      <c r="M197" s="3">
        <f t="shared" si="18"/>
        <v>3.730714857852346E-3</v>
      </c>
      <c r="N197" s="3">
        <f t="shared" si="18"/>
        <v>3.7741531622356647E-3</v>
      </c>
    </row>
    <row r="198" spans="1:14" x14ac:dyDescent="0.3">
      <c r="A198" s="2">
        <v>45747</v>
      </c>
      <c r="B198" s="3">
        <v>222.13</v>
      </c>
      <c r="C198" s="3">
        <v>108.38</v>
      </c>
      <c r="D198" s="3">
        <v>259.16000000000003</v>
      </c>
      <c r="E198" s="3">
        <v>43.95</v>
      </c>
      <c r="F198" s="3">
        <v>29.43</v>
      </c>
      <c r="G198" s="4">
        <v>5611.85</v>
      </c>
      <c r="I198" s="3">
        <f t="shared" si="17"/>
        <v>1.9226554118956955E-2</v>
      </c>
      <c r="J198" s="3">
        <f t="shared" si="17"/>
        <v>-1.183228663414946E-2</v>
      </c>
      <c r="K198" s="3">
        <f t="shared" si="17"/>
        <v>-1.6797471719459368E-2</v>
      </c>
      <c r="L198" s="3">
        <f t="shared" si="17"/>
        <v>1.9993771842998324E-2</v>
      </c>
      <c r="M198" s="3">
        <f t="shared" si="18"/>
        <v>1.0932804487849519E-2</v>
      </c>
      <c r="N198" s="3">
        <f t="shared" si="18"/>
        <v>5.523212456950013E-3</v>
      </c>
    </row>
    <row r="199" spans="1:14" x14ac:dyDescent="0.3">
      <c r="A199" s="2">
        <v>45744</v>
      </c>
      <c r="B199" s="3">
        <v>217.9</v>
      </c>
      <c r="C199" s="3">
        <v>109.67</v>
      </c>
      <c r="D199" s="3">
        <v>263.55</v>
      </c>
      <c r="E199" s="3">
        <v>43.08</v>
      </c>
      <c r="F199" s="3">
        <v>29.11</v>
      </c>
      <c r="G199" s="4">
        <v>5580.94</v>
      </c>
      <c r="I199" s="3">
        <f t="shared" si="17"/>
        <v>-2.693994273640031E-2</v>
      </c>
      <c r="J199" s="3">
        <f t="shared" si="17"/>
        <v>-1.5920734286845054E-2</v>
      </c>
      <c r="K199" s="3">
        <f t="shared" si="17"/>
        <v>-3.570476901722984E-2</v>
      </c>
      <c r="L199" s="3">
        <f t="shared" si="17"/>
        <v>-1.2686134847330575E-2</v>
      </c>
      <c r="M199" s="3">
        <f t="shared" si="18"/>
        <v>-2.7445395348744663E-2</v>
      </c>
      <c r="N199" s="3">
        <f t="shared" si="18"/>
        <v>-1.9934580336265845E-2</v>
      </c>
    </row>
    <row r="200" spans="1:14" x14ac:dyDescent="0.3">
      <c r="A200" s="2">
        <v>45743</v>
      </c>
      <c r="B200" s="3">
        <v>223.85</v>
      </c>
      <c r="C200" s="3">
        <v>111.43</v>
      </c>
      <c r="D200" s="3">
        <v>273.13</v>
      </c>
      <c r="E200" s="3">
        <v>43.63</v>
      </c>
      <c r="F200" s="3">
        <v>29.92</v>
      </c>
      <c r="G200" s="4">
        <v>5693.31</v>
      </c>
      <c r="I200" s="3">
        <f t="shared" si="17"/>
        <v>1.041816419239041E-2</v>
      </c>
      <c r="J200" s="3">
        <f t="shared" si="17"/>
        <v>-2.0694374995968212E-2</v>
      </c>
      <c r="K200" s="3">
        <f t="shared" si="17"/>
        <v>3.9252421131618529E-3</v>
      </c>
      <c r="L200" s="3">
        <f t="shared" si="17"/>
        <v>-8.899088962797428E-3</v>
      </c>
      <c r="M200" s="3">
        <f t="shared" si="18"/>
        <v>6.6867270963588384E-4</v>
      </c>
      <c r="N200" s="3">
        <f t="shared" si="18"/>
        <v>-3.3124371066493626E-3</v>
      </c>
    </row>
    <row r="201" spans="1:14" x14ac:dyDescent="0.3">
      <c r="A201" s="2">
        <v>45742</v>
      </c>
      <c r="B201" s="3">
        <v>221.53</v>
      </c>
      <c r="C201" s="3">
        <v>113.76</v>
      </c>
      <c r="D201" s="3">
        <v>272.06</v>
      </c>
      <c r="E201" s="3">
        <v>44.02</v>
      </c>
      <c r="F201" s="3">
        <v>29.9</v>
      </c>
      <c r="G201" s="4">
        <v>5712.2</v>
      </c>
      <c r="I201" s="3">
        <f t="shared" si="17"/>
        <v>-9.9713366603807335E-3</v>
      </c>
      <c r="J201" s="3">
        <f t="shared" si="17"/>
        <v>-5.9134308574875692E-2</v>
      </c>
      <c r="K201" s="3">
        <f t="shared" si="17"/>
        <v>-5.7423842928042861E-2</v>
      </c>
      <c r="L201" s="3">
        <f t="shared" si="17"/>
        <v>-2.6010434941541542E-2</v>
      </c>
      <c r="M201" s="3">
        <f t="shared" si="18"/>
        <v>1.245178464080946E-2</v>
      </c>
      <c r="N201" s="3">
        <f t="shared" si="18"/>
        <v>-1.1219691455108281E-2</v>
      </c>
    </row>
    <row r="202" spans="1:14" x14ac:dyDescent="0.3">
      <c r="A202" s="2">
        <v>45741</v>
      </c>
      <c r="B202" s="3">
        <v>223.75</v>
      </c>
      <c r="C202" s="3">
        <v>120.69</v>
      </c>
      <c r="D202" s="3">
        <v>288.14</v>
      </c>
      <c r="E202" s="3">
        <v>45.18</v>
      </c>
      <c r="F202" s="3">
        <v>29.53</v>
      </c>
      <c r="G202" s="4">
        <v>5776.65</v>
      </c>
      <c r="I202" s="3">
        <f t="shared" si="17"/>
        <v>1.3589122001844327E-2</v>
      </c>
      <c r="J202" s="3">
        <f t="shared" si="17"/>
        <v>-5.9479729260773087E-3</v>
      </c>
      <c r="K202" s="3">
        <f t="shared" si="17"/>
        <v>3.4423464858414285E-2</v>
      </c>
      <c r="L202" s="3">
        <f t="shared" si="17"/>
        <v>1.2920652013838709E-2</v>
      </c>
      <c r="M202" s="3">
        <f t="shared" si="18"/>
        <v>-1.0778144082779854E-2</v>
      </c>
      <c r="N202" s="3">
        <f t="shared" si="18"/>
        <v>1.5730819184730236E-3</v>
      </c>
    </row>
    <row r="203" spans="1:14" x14ac:dyDescent="0.3">
      <c r="A203" s="2">
        <v>45740</v>
      </c>
      <c r="B203" s="3">
        <v>220.73</v>
      </c>
      <c r="C203" s="3">
        <v>121.41</v>
      </c>
      <c r="D203" s="3">
        <v>278.39</v>
      </c>
      <c r="E203" s="3">
        <v>44.6</v>
      </c>
      <c r="F203" s="3">
        <v>29.85</v>
      </c>
      <c r="G203" s="4">
        <v>5767.57</v>
      </c>
      <c r="I203" s="3">
        <f t="shared" si="17"/>
        <v>1.1207406602134005E-2</v>
      </c>
      <c r="J203" s="3">
        <f t="shared" si="17"/>
        <v>3.1034233289652859E-2</v>
      </c>
      <c r="K203" s="3">
        <f t="shared" si="17"/>
        <v>0.11273544918666345</v>
      </c>
      <c r="L203" s="3">
        <f t="shared" si="17"/>
        <v>1.1047344909170026E-2</v>
      </c>
      <c r="M203" s="3">
        <f t="shared" si="18"/>
        <v>9.4245059742253407E-3</v>
      </c>
      <c r="N203" s="3">
        <f t="shared" si="18"/>
        <v>1.7492157944606672E-2</v>
      </c>
    </row>
    <row r="204" spans="1:14" x14ac:dyDescent="0.3">
      <c r="A204" s="2">
        <v>45737</v>
      </c>
      <c r="B204" s="3">
        <v>218.27</v>
      </c>
      <c r="C204" s="3">
        <v>117.7</v>
      </c>
      <c r="D204" s="3">
        <v>248.71</v>
      </c>
      <c r="E204" s="3">
        <v>44.11</v>
      </c>
      <c r="F204" s="3">
        <v>29.57</v>
      </c>
      <c r="G204" s="4">
        <v>5667.56</v>
      </c>
      <c r="I204" s="3">
        <f t="shared" si="17"/>
        <v>1.9289632955349155E-2</v>
      </c>
      <c r="J204" s="3">
        <f t="shared" si="17"/>
        <v>-7.0270788251779615E-3</v>
      </c>
      <c r="K204" s="3">
        <f t="shared" si="17"/>
        <v>5.135466556787515E-2</v>
      </c>
      <c r="L204" s="3">
        <f t="shared" si="17"/>
        <v>-1.3063248828511682E-2</v>
      </c>
      <c r="M204" s="3">
        <f t="shared" si="18"/>
        <v>-1.3770158810065816E-2</v>
      </c>
      <c r="N204" s="3">
        <f t="shared" si="18"/>
        <v>8.2432741231720308E-4</v>
      </c>
    </row>
    <row r="205" spans="1:14" x14ac:dyDescent="0.3">
      <c r="A205" s="2">
        <v>45736</v>
      </c>
      <c r="B205" s="3">
        <v>214.1</v>
      </c>
      <c r="C205" s="3">
        <v>118.53</v>
      </c>
      <c r="D205" s="3">
        <v>236.26</v>
      </c>
      <c r="E205" s="3">
        <v>44.69</v>
      </c>
      <c r="F205" s="3">
        <v>29.98</v>
      </c>
      <c r="G205" s="4">
        <v>5662.89</v>
      </c>
      <c r="I205" s="3">
        <f t="shared" si="17"/>
        <v>-5.3104890255818429E-3</v>
      </c>
      <c r="J205" s="3">
        <f t="shared" si="17"/>
        <v>8.5575612257871476E-3</v>
      </c>
      <c r="K205" s="3">
        <f t="shared" si="17"/>
        <v>1.6944848585497799E-3</v>
      </c>
      <c r="L205" s="3">
        <f t="shared" si="17"/>
        <v>2.0159039193416804E-3</v>
      </c>
      <c r="M205" s="3">
        <f t="shared" si="18"/>
        <v>-2.9975043259860153E-3</v>
      </c>
      <c r="N205" s="3">
        <f t="shared" si="18"/>
        <v>-2.1873007738032347E-3</v>
      </c>
    </row>
    <row r="206" spans="1:14" x14ac:dyDescent="0.3">
      <c r="A206" s="2">
        <v>45735</v>
      </c>
      <c r="B206" s="3">
        <v>215.24</v>
      </c>
      <c r="C206" s="3">
        <v>117.52</v>
      </c>
      <c r="D206" s="3">
        <v>235.86</v>
      </c>
      <c r="E206" s="3">
        <v>44.6</v>
      </c>
      <c r="F206" s="3">
        <v>30.07</v>
      </c>
      <c r="G206" s="4">
        <v>5675.29</v>
      </c>
      <c r="I206" s="3">
        <f t="shared" si="17"/>
        <v>1.1917978094765389E-2</v>
      </c>
      <c r="J206" s="3">
        <f t="shared" si="17"/>
        <v>1.7944246238800962E-2</v>
      </c>
      <c r="K206" s="3">
        <f t="shared" si="17"/>
        <v>4.5761176944529594E-2</v>
      </c>
      <c r="L206" s="3">
        <f t="shared" si="17"/>
        <v>2.0385756924473961E-2</v>
      </c>
      <c r="M206" s="3">
        <f t="shared" si="18"/>
        <v>-6.2987113597722539E-3</v>
      </c>
      <c r="N206" s="3">
        <f t="shared" si="18"/>
        <v>1.0740629118978858E-2</v>
      </c>
    </row>
    <row r="207" spans="1:14" x14ac:dyDescent="0.3">
      <c r="A207" s="2">
        <v>45734</v>
      </c>
      <c r="B207" s="3">
        <v>212.69</v>
      </c>
      <c r="C207" s="3">
        <v>115.43</v>
      </c>
      <c r="D207" s="3">
        <v>225.31</v>
      </c>
      <c r="E207" s="3">
        <v>43.7</v>
      </c>
      <c r="F207" s="3">
        <v>30.26</v>
      </c>
      <c r="G207" s="4">
        <v>5614.66</v>
      </c>
      <c r="I207" s="3">
        <f t="shared" si="17"/>
        <v>-6.1403084953978448E-3</v>
      </c>
      <c r="J207" s="3">
        <f t="shared" si="17"/>
        <v>-3.4903100263068657E-2</v>
      </c>
      <c r="K207" s="3">
        <f t="shared" si="17"/>
        <v>-5.4835457878221687E-2</v>
      </c>
      <c r="L207" s="3">
        <f t="shared" si="17"/>
        <v>-4.1105333054850205E-3</v>
      </c>
      <c r="M207" s="3">
        <f t="shared" si="18"/>
        <v>-2.3106133402797983E-3</v>
      </c>
      <c r="N207" s="3">
        <f t="shared" si="18"/>
        <v>-1.071067425391002E-2</v>
      </c>
    </row>
    <row r="208" spans="1:14" x14ac:dyDescent="0.3">
      <c r="A208" s="2">
        <v>45733</v>
      </c>
      <c r="B208" s="3">
        <v>214</v>
      </c>
      <c r="C208" s="3">
        <v>119.53</v>
      </c>
      <c r="D208" s="3">
        <v>238.01</v>
      </c>
      <c r="E208" s="3">
        <v>43.88</v>
      </c>
      <c r="F208" s="3">
        <v>30.33</v>
      </c>
      <c r="G208" s="4">
        <v>5675.12</v>
      </c>
      <c r="I208" s="3">
        <f t="shared" si="17"/>
        <v>2.3860218576188547E-3</v>
      </c>
      <c r="J208" s="3">
        <f t="shared" si="17"/>
        <v>-1.7745075909468073E-2</v>
      </c>
      <c r="K208" s="3">
        <f t="shared" si="17"/>
        <v>-4.9068225066559674E-2</v>
      </c>
      <c r="L208" s="3">
        <f t="shared" si="17"/>
        <v>2.3986389827481393E-2</v>
      </c>
      <c r="M208" s="3">
        <f t="shared" si="18"/>
        <v>1.0606662248213961E-2</v>
      </c>
      <c r="N208" s="3">
        <f t="shared" si="18"/>
        <v>6.3956039343475201E-3</v>
      </c>
    </row>
    <row r="209" spans="1:14" x14ac:dyDescent="0.3">
      <c r="A209" s="2">
        <v>45730</v>
      </c>
      <c r="B209" s="3">
        <v>213.49</v>
      </c>
      <c r="C209" s="3">
        <v>121.67</v>
      </c>
      <c r="D209" s="3">
        <v>249.98</v>
      </c>
      <c r="E209" s="3">
        <v>42.84</v>
      </c>
      <c r="F209" s="3">
        <v>30.01</v>
      </c>
      <c r="G209" s="4">
        <v>5638.94</v>
      </c>
      <c r="I209" s="3">
        <f t="shared" si="17"/>
        <v>1.8007434149081746E-2</v>
      </c>
      <c r="J209" s="3">
        <f t="shared" si="17"/>
        <v>5.1349530909725834E-2</v>
      </c>
      <c r="K209" s="3">
        <f t="shared" si="17"/>
        <v>3.7912664309924612E-2</v>
      </c>
      <c r="L209" s="3">
        <f t="shared" si="17"/>
        <v>2.6012343930493304E-2</v>
      </c>
      <c r="M209" s="3">
        <f t="shared" si="18"/>
        <v>2.9762088480932671E-2</v>
      </c>
      <c r="N209" s="3">
        <f t="shared" si="18"/>
        <v>2.1042919881408308E-2</v>
      </c>
    </row>
    <row r="210" spans="1:14" x14ac:dyDescent="0.3">
      <c r="A210" s="2">
        <v>45729</v>
      </c>
      <c r="B210" s="3">
        <v>209.68</v>
      </c>
      <c r="C210" s="3">
        <v>115.58</v>
      </c>
      <c r="D210" s="3">
        <v>240.68</v>
      </c>
      <c r="E210" s="3">
        <v>41.74</v>
      </c>
      <c r="F210" s="3">
        <v>29.13</v>
      </c>
      <c r="G210" s="4">
        <v>5521.52</v>
      </c>
      <c r="I210" s="3">
        <f t="shared" si="17"/>
        <v>-3.4222624379153584E-2</v>
      </c>
      <c r="J210" s="3">
        <f t="shared" si="17"/>
        <v>-1.383365256060755E-3</v>
      </c>
      <c r="K210" s="3">
        <f t="shared" si="17"/>
        <v>-3.0323333205188981E-2</v>
      </c>
      <c r="L210" s="3">
        <f t="shared" si="17"/>
        <v>-1.7573475284628607E-2</v>
      </c>
      <c r="M210" s="3">
        <f t="shared" si="18"/>
        <v>-1.4315172880764058E-2</v>
      </c>
      <c r="N210" s="3">
        <f t="shared" si="18"/>
        <v>-1.3988405225352909E-2</v>
      </c>
    </row>
    <row r="211" spans="1:14" x14ac:dyDescent="0.3">
      <c r="A211" s="2">
        <v>45728</v>
      </c>
      <c r="B211" s="3">
        <v>216.98</v>
      </c>
      <c r="C211" s="3">
        <v>115.74</v>
      </c>
      <c r="D211" s="3">
        <v>248.09</v>
      </c>
      <c r="E211" s="3">
        <v>42.48</v>
      </c>
      <c r="F211" s="3">
        <v>29.55</v>
      </c>
      <c r="G211" s="4">
        <v>5599.3</v>
      </c>
      <c r="I211" s="3">
        <f t="shared" si="17"/>
        <v>-1.7633274021539299E-2</v>
      </c>
      <c r="J211" s="3">
        <f t="shared" si="17"/>
        <v>6.2202676381422621E-2</v>
      </c>
      <c r="K211" s="3">
        <f t="shared" si="17"/>
        <v>7.3193709752532393E-2</v>
      </c>
      <c r="L211" s="3">
        <f t="shared" si="17"/>
        <v>1.4941579998198923E-2</v>
      </c>
      <c r="M211" s="3">
        <f t="shared" si="18"/>
        <v>1.0157441198354218E-3</v>
      </c>
      <c r="N211" s="3">
        <f t="shared" si="18"/>
        <v>4.8749712752344252E-3</v>
      </c>
    </row>
    <row r="212" spans="1:14" x14ac:dyDescent="0.3">
      <c r="A212" s="2">
        <v>45727</v>
      </c>
      <c r="B212" s="3">
        <v>220.84</v>
      </c>
      <c r="C212" s="3">
        <v>108.76</v>
      </c>
      <c r="D212" s="3">
        <v>230.58</v>
      </c>
      <c r="E212" s="3">
        <v>41.85</v>
      </c>
      <c r="F212" s="3">
        <v>29.52</v>
      </c>
      <c r="G212" s="4">
        <v>5572.07</v>
      </c>
      <c r="I212" s="3">
        <f t="shared" si="17"/>
        <v>-2.9623865022754978E-2</v>
      </c>
      <c r="J212" s="3">
        <f t="shared" si="17"/>
        <v>1.650171866116593E-2</v>
      </c>
      <c r="K212" s="3">
        <f t="shared" si="17"/>
        <v>3.7245044422890027E-2</v>
      </c>
      <c r="L212" s="3">
        <f t="shared" si="17"/>
        <v>1.662488596963559E-2</v>
      </c>
      <c r="M212" s="3">
        <f t="shared" si="18"/>
        <v>-3.756466264994867E-2</v>
      </c>
      <c r="N212" s="3">
        <f t="shared" si="18"/>
        <v>-7.596604935651537E-3</v>
      </c>
    </row>
    <row r="213" spans="1:14" x14ac:dyDescent="0.3">
      <c r="A213" s="2">
        <v>45726</v>
      </c>
      <c r="B213" s="3">
        <v>227.48</v>
      </c>
      <c r="C213" s="3">
        <v>106.98</v>
      </c>
      <c r="D213" s="3">
        <v>222.15</v>
      </c>
      <c r="E213" s="3">
        <v>41.16</v>
      </c>
      <c r="F213" s="3">
        <v>30.65</v>
      </c>
      <c r="G213" s="4">
        <v>5614.56</v>
      </c>
      <c r="I213" s="3">
        <f t="shared" si="17"/>
        <v>-4.9694073639167571E-2</v>
      </c>
      <c r="J213" s="3">
        <f t="shared" si="17"/>
        <v>-5.1998784861153904E-2</v>
      </c>
      <c r="K213" s="3">
        <f t="shared" si="17"/>
        <v>-0.16754566208266003</v>
      </c>
      <c r="L213" s="3">
        <f t="shared" si="17"/>
        <v>-4.1171787562940383E-2</v>
      </c>
      <c r="M213" s="3">
        <f t="shared" si="18"/>
        <v>-1.9706662611110246E-2</v>
      </c>
      <c r="N213" s="3">
        <f t="shared" si="18"/>
        <v>-2.7343518375984407E-2</v>
      </c>
    </row>
    <row r="214" spans="1:14" x14ac:dyDescent="0.3">
      <c r="A214" s="2">
        <v>45723</v>
      </c>
      <c r="B214" s="3">
        <v>239.07</v>
      </c>
      <c r="C214" s="3">
        <v>112.69</v>
      </c>
      <c r="D214" s="3">
        <v>262.67</v>
      </c>
      <c r="E214" s="3">
        <v>42.89</v>
      </c>
      <c r="F214" s="3">
        <v>31.26</v>
      </c>
      <c r="G214" s="4">
        <v>5770.2</v>
      </c>
      <c r="I214" s="3">
        <f t="shared" si="17"/>
        <v>1.5767611658897701E-2</v>
      </c>
      <c r="J214" s="3">
        <f t="shared" si="17"/>
        <v>1.8991881409947647E-2</v>
      </c>
      <c r="K214" s="3">
        <f t="shared" si="17"/>
        <v>-2.9651051907172263E-3</v>
      </c>
      <c r="L214" s="3">
        <f t="shared" si="17"/>
        <v>2.33528716006971E-2</v>
      </c>
      <c r="M214" s="3">
        <f t="shared" si="18"/>
        <v>1.0612738296352363E-2</v>
      </c>
      <c r="N214" s="3">
        <f t="shared" si="18"/>
        <v>5.5054046005090125E-3</v>
      </c>
    </row>
    <row r="215" spans="1:14" x14ac:dyDescent="0.3">
      <c r="A215" s="2">
        <v>45722</v>
      </c>
      <c r="B215" s="3">
        <v>235.33</v>
      </c>
      <c r="C215" s="3">
        <v>110.57</v>
      </c>
      <c r="D215" s="3">
        <v>263.45</v>
      </c>
      <c r="E215" s="3">
        <v>41.9</v>
      </c>
      <c r="F215" s="3">
        <v>30.93</v>
      </c>
      <c r="G215" s="4">
        <v>5738.52</v>
      </c>
      <c r="I215" s="3">
        <f t="shared" si="17"/>
        <v>-1.740718379554715E-3</v>
      </c>
      <c r="J215" s="3">
        <f t="shared" si="17"/>
        <v>-5.9085951105119362E-2</v>
      </c>
      <c r="K215" s="3">
        <f t="shared" si="17"/>
        <v>-5.7706543886981869E-2</v>
      </c>
      <c r="L215" s="3">
        <f t="shared" si="17"/>
        <v>-9.9739606219519349E-3</v>
      </c>
      <c r="M215" s="3">
        <f t="shared" si="18"/>
        <v>3.2336297775704053E-4</v>
      </c>
      <c r="N215" s="3">
        <f t="shared" si="18"/>
        <v>-1.7979700568310077E-2</v>
      </c>
    </row>
    <row r="216" spans="1:14" x14ac:dyDescent="0.3">
      <c r="A216" s="2">
        <v>45721</v>
      </c>
      <c r="B216" s="3">
        <v>235.74</v>
      </c>
      <c r="C216" s="3">
        <v>117.3</v>
      </c>
      <c r="D216" s="3">
        <v>279.10000000000002</v>
      </c>
      <c r="E216" s="3">
        <v>42.32</v>
      </c>
      <c r="F216" s="3">
        <v>30.92</v>
      </c>
      <c r="G216" s="4">
        <v>5842.63</v>
      </c>
      <c r="H216" s="30"/>
      <c r="I216" s="3">
        <f t="shared" si="17"/>
        <v>-8.0564806019855866E-4</v>
      </c>
      <c r="J216" s="3">
        <f t="shared" si="17"/>
        <v>1.1230775165644994E-2</v>
      </c>
      <c r="K216" s="3">
        <f t="shared" si="17"/>
        <v>2.5621026234838508E-2</v>
      </c>
      <c r="L216" s="3">
        <f t="shared" si="17"/>
        <v>-1.2679202495387011E-2</v>
      </c>
      <c r="M216" s="3">
        <f t="shared" si="18"/>
        <v>-9.0148710962154269E-3</v>
      </c>
      <c r="N216" s="3">
        <f t="shared" si="18"/>
        <v>1.1097475685101249E-2</v>
      </c>
    </row>
    <row r="217" spans="1:14" x14ac:dyDescent="0.3">
      <c r="A217" s="2">
        <v>45720</v>
      </c>
      <c r="B217" s="3">
        <v>235.93</v>
      </c>
      <c r="C217" s="3">
        <v>115.99</v>
      </c>
      <c r="D217" s="3">
        <v>272.04000000000002</v>
      </c>
      <c r="E217" s="3">
        <v>42.86</v>
      </c>
      <c r="F217" s="3">
        <v>31.2</v>
      </c>
      <c r="G217" s="4">
        <v>5778.15</v>
      </c>
      <c r="H217" s="30"/>
      <c r="I217" s="3">
        <f t="shared" si="17"/>
        <v>-8.8615652893341244E-3</v>
      </c>
      <c r="J217" s="3">
        <f t="shared" si="17"/>
        <v>1.6779354765391951E-2</v>
      </c>
      <c r="K217" s="3">
        <f t="shared" si="17"/>
        <v>-4.5311241089652829E-2</v>
      </c>
      <c r="L217" s="3">
        <f t="shared" si="17"/>
        <v>-1.711816030955772E-2</v>
      </c>
      <c r="M217" s="3">
        <f t="shared" si="18"/>
        <v>-2.3127911911253997E-2</v>
      </c>
      <c r="N217" s="3">
        <f t="shared" si="18"/>
        <v>-1.2310234603366469E-2</v>
      </c>
    </row>
    <row r="218" spans="1:14" x14ac:dyDescent="0.3">
      <c r="A218" s="2">
        <v>45719</v>
      </c>
      <c r="B218" s="3">
        <v>238.03</v>
      </c>
      <c r="C218" s="3">
        <v>114.06</v>
      </c>
      <c r="D218" s="3">
        <v>284.64999999999998</v>
      </c>
      <c r="E218" s="3">
        <v>43.6</v>
      </c>
      <c r="F218" s="3">
        <v>31.93</v>
      </c>
      <c r="G218" s="4">
        <v>5849.72</v>
      </c>
      <c r="H218" s="30"/>
      <c r="I218" s="3">
        <f t="shared" si="17"/>
        <v>-1.5879634323246551E-2</v>
      </c>
      <c r="J218" s="3">
        <f t="shared" si="17"/>
        <v>-9.0948906686485087E-2</v>
      </c>
      <c r="K218" s="3">
        <f t="shared" si="17"/>
        <v>-2.8843991904533108E-2</v>
      </c>
      <c r="L218" s="3">
        <f t="shared" si="17"/>
        <v>-2.2452468284396714E-2</v>
      </c>
      <c r="M218" s="3">
        <f t="shared" si="18"/>
        <v>-2.502347255081042E-3</v>
      </c>
      <c r="N218" s="3">
        <f t="shared" si="18"/>
        <v>-1.7753439375493379E-2</v>
      </c>
    </row>
    <row r="219" spans="1:14" x14ac:dyDescent="0.3">
      <c r="A219" s="2">
        <v>45716</v>
      </c>
      <c r="B219" s="3">
        <v>241.84</v>
      </c>
      <c r="C219" s="3">
        <v>124.92</v>
      </c>
      <c r="D219" s="3">
        <v>292.98</v>
      </c>
      <c r="E219" s="3">
        <v>44.59</v>
      </c>
      <c r="F219" s="3">
        <v>32.01</v>
      </c>
      <c r="G219" s="4">
        <v>5954.5</v>
      </c>
      <c r="H219" s="30"/>
      <c r="I219" s="3">
        <f t="shared" si="17"/>
        <v>1.8951187029484631E-2</v>
      </c>
      <c r="J219" s="3">
        <f t="shared" si="17"/>
        <v>3.893257023239987E-2</v>
      </c>
      <c r="K219" s="3">
        <f t="shared" si="17"/>
        <v>3.8374597048432775E-2</v>
      </c>
      <c r="L219" s="3">
        <f t="shared" si="17"/>
        <v>2.2911289122911637E-2</v>
      </c>
      <c r="M219" s="3">
        <f t="shared" si="18"/>
        <v>0</v>
      </c>
      <c r="N219" s="3">
        <f t="shared" si="18"/>
        <v>1.5729750431897126E-2</v>
      </c>
    </row>
    <row r="220" spans="1:14" x14ac:dyDescent="0.3">
      <c r="A220" s="2">
        <v>45715</v>
      </c>
      <c r="B220" s="3">
        <v>237.3</v>
      </c>
      <c r="C220" s="3">
        <v>120.15</v>
      </c>
      <c r="D220" s="3">
        <v>281.95</v>
      </c>
      <c r="E220" s="3">
        <v>43.58</v>
      </c>
      <c r="F220" s="3">
        <v>32.01</v>
      </c>
      <c r="G220" s="4">
        <v>5861.57</v>
      </c>
      <c r="H220" s="30"/>
      <c r="I220" s="3">
        <f t="shared" si="17"/>
        <v>-1.2812636024009335E-2</v>
      </c>
      <c r="J220" s="3">
        <f t="shared" si="17"/>
        <v>-8.8591484599357465E-2</v>
      </c>
      <c r="K220" s="3">
        <f t="shared" si="17"/>
        <v>-3.0905995406173285E-2</v>
      </c>
      <c r="L220" s="3">
        <f t="shared" si="17"/>
        <v>1.6075327838851444E-3</v>
      </c>
      <c r="M220" s="3">
        <f t="shared" si="18"/>
        <v>9.3764657596343232E-4</v>
      </c>
      <c r="N220" s="3">
        <f t="shared" si="18"/>
        <v>-1.5991702852089028E-2</v>
      </c>
    </row>
    <row r="221" spans="1:14" x14ac:dyDescent="0.3">
      <c r="A221" s="2">
        <v>45714</v>
      </c>
      <c r="B221" s="3">
        <v>240.36</v>
      </c>
      <c r="C221" s="3">
        <v>131.28</v>
      </c>
      <c r="D221" s="3">
        <v>290.8</v>
      </c>
      <c r="E221" s="3">
        <v>43.51</v>
      </c>
      <c r="F221" s="3">
        <v>31.98</v>
      </c>
      <c r="G221" s="4">
        <v>5956.06</v>
      </c>
      <c r="H221" s="30"/>
      <c r="I221" s="3">
        <f t="shared" si="17"/>
        <v>-2.7412467370684025E-2</v>
      </c>
      <c r="J221" s="3">
        <f t="shared" si="17"/>
        <v>3.6062998319318362E-2</v>
      </c>
      <c r="K221" s="3">
        <f t="shared" si="17"/>
        <v>-4.0436775903929467E-2</v>
      </c>
      <c r="L221" s="3">
        <f t="shared" si="17"/>
        <v>-1.2107515121890513E-2</v>
      </c>
      <c r="M221" s="3">
        <f t="shared" si="18"/>
        <v>-3.4337477159573936E-3</v>
      </c>
      <c r="N221" s="3">
        <f t="shared" si="18"/>
        <v>1.3600519191397061E-4</v>
      </c>
    </row>
    <row r="222" spans="1:14" x14ac:dyDescent="0.3">
      <c r="A222" s="2">
        <v>45713</v>
      </c>
      <c r="B222" s="3">
        <v>247.04</v>
      </c>
      <c r="C222" s="3">
        <v>126.63</v>
      </c>
      <c r="D222" s="3">
        <v>302.8</v>
      </c>
      <c r="E222" s="3">
        <v>44.04</v>
      </c>
      <c r="F222" s="3">
        <v>32.090000000000003</v>
      </c>
      <c r="G222" s="4">
        <v>5955.25</v>
      </c>
      <c r="H222" s="30"/>
      <c r="I222" s="3">
        <f t="shared" si="17"/>
        <v>-2.4284615815310331E-4</v>
      </c>
      <c r="J222" s="3">
        <f t="shared" si="17"/>
        <v>-2.8416531945515723E-2</v>
      </c>
      <c r="K222" s="3">
        <f t="shared" si="17"/>
        <v>-8.7624905167203629E-2</v>
      </c>
      <c r="L222" s="3">
        <f t="shared" si="17"/>
        <v>-1.3083877149907188E-2</v>
      </c>
      <c r="M222" s="3">
        <f t="shared" si="18"/>
        <v>8.7637493607129208E-3</v>
      </c>
      <c r="N222" s="3">
        <f t="shared" si="18"/>
        <v>-4.690715138395557E-3</v>
      </c>
    </row>
    <row r="223" spans="1:14" x14ac:dyDescent="0.3">
      <c r="A223" s="2">
        <v>45712</v>
      </c>
      <c r="B223" s="3">
        <v>247.1</v>
      </c>
      <c r="C223" s="3">
        <v>130.28</v>
      </c>
      <c r="D223" s="3">
        <v>330.53</v>
      </c>
      <c r="E223" s="3">
        <v>44.62</v>
      </c>
      <c r="F223" s="3">
        <v>31.81</v>
      </c>
      <c r="G223" s="4">
        <v>5983.25</v>
      </c>
      <c r="H223" s="30"/>
      <c r="I223" s="3">
        <f t="shared" si="17"/>
        <v>6.2925205093107527E-3</v>
      </c>
      <c r="J223" s="3">
        <f t="shared" si="17"/>
        <v>-3.1357637058128648E-2</v>
      </c>
      <c r="K223" s="3">
        <f t="shared" si="17"/>
        <v>-2.175657764320232E-2</v>
      </c>
      <c r="L223" s="3">
        <f t="shared" si="17"/>
        <v>-2.2164027851855499E-2</v>
      </c>
      <c r="M223" s="3">
        <f t="shared" si="18"/>
        <v>-1.528652446755809E-2</v>
      </c>
      <c r="N223" s="3">
        <f t="shared" si="18"/>
        <v>-4.9815130548550111E-3</v>
      </c>
    </row>
    <row r="224" spans="1:14" x14ac:dyDescent="0.3">
      <c r="A224" s="2">
        <v>45709</v>
      </c>
      <c r="B224" s="3">
        <v>245.55</v>
      </c>
      <c r="C224" s="3">
        <v>134.43</v>
      </c>
      <c r="D224" s="3">
        <v>337.8</v>
      </c>
      <c r="E224" s="3">
        <v>45.62</v>
      </c>
      <c r="F224" s="3">
        <v>32.299999999999997</v>
      </c>
      <c r="G224" s="4">
        <v>6013.13</v>
      </c>
      <c r="H224" s="30"/>
      <c r="I224" s="3">
        <f t="shared" si="17"/>
        <v>-1.1396476466492649E-3</v>
      </c>
      <c r="J224" s="3">
        <f t="shared" si="17"/>
        <v>-4.1384210916978727E-2</v>
      </c>
      <c r="K224" s="3">
        <f t="shared" si="17"/>
        <v>-4.7972214357226095E-2</v>
      </c>
      <c r="L224" s="3">
        <f t="shared" si="17"/>
        <v>-2.7884655484124637E-2</v>
      </c>
      <c r="M224" s="3">
        <f t="shared" si="18"/>
        <v>-4.9413318578344348E-3</v>
      </c>
      <c r="N224" s="3">
        <f t="shared" si="18"/>
        <v>-1.7211373991262081E-2</v>
      </c>
    </row>
    <row r="225" spans="1:14" x14ac:dyDescent="0.3">
      <c r="A225" s="2">
        <v>45708</v>
      </c>
      <c r="B225" s="3">
        <v>245.83</v>
      </c>
      <c r="C225" s="3">
        <v>140.11000000000001</v>
      </c>
      <c r="D225" s="3">
        <v>354.4</v>
      </c>
      <c r="E225" s="3">
        <v>46.91</v>
      </c>
      <c r="F225" s="3">
        <v>32.46</v>
      </c>
      <c r="G225" s="4">
        <v>6117.52</v>
      </c>
      <c r="H225" s="30"/>
      <c r="I225" s="3">
        <f t="shared" si="17"/>
        <v>3.9127826565687213E-3</v>
      </c>
      <c r="J225" s="3">
        <f t="shared" si="17"/>
        <v>6.3005864619461423E-3</v>
      </c>
      <c r="K225" s="3">
        <f t="shared" si="17"/>
        <v>-1.7232159651467047E-2</v>
      </c>
      <c r="L225" s="3">
        <f t="shared" si="17"/>
        <v>4.2643923887159181E-4</v>
      </c>
      <c r="M225" s="3">
        <f t="shared" si="18"/>
        <v>1.5415449329892947E-3</v>
      </c>
      <c r="N225" s="3">
        <f t="shared" si="18"/>
        <v>-4.3436239711486854E-3</v>
      </c>
    </row>
    <row r="226" spans="1:14" x14ac:dyDescent="0.3">
      <c r="A226" s="2">
        <v>45707</v>
      </c>
      <c r="B226" s="3">
        <v>244.87</v>
      </c>
      <c r="C226" s="3">
        <v>139.22999999999999</v>
      </c>
      <c r="D226" s="3">
        <v>360.56</v>
      </c>
      <c r="E226" s="3">
        <v>46.89</v>
      </c>
      <c r="F226" s="3">
        <v>32.409999999999997</v>
      </c>
      <c r="G226" s="4">
        <v>6144.15</v>
      </c>
      <c r="H226" s="30"/>
      <c r="I226" s="3">
        <f t="shared" si="17"/>
        <v>1.6348554750960618E-3</v>
      </c>
      <c r="J226" s="3">
        <f t="shared" si="17"/>
        <v>-1.2202564052294857E-3</v>
      </c>
      <c r="K226" s="3">
        <f t="shared" si="17"/>
        <v>1.8050779053296055E-2</v>
      </c>
      <c r="L226" s="3">
        <f t="shared" si="17"/>
        <v>-1.9175461292717062E-3</v>
      </c>
      <c r="M226" s="3">
        <f t="shared" si="18"/>
        <v>-3.7248817951291438E-2</v>
      </c>
      <c r="N226" s="3">
        <f t="shared" si="18"/>
        <v>2.3741775065794562E-3</v>
      </c>
    </row>
    <row r="227" spans="1:14" x14ac:dyDescent="0.3">
      <c r="A227" s="2">
        <v>45706</v>
      </c>
      <c r="B227" s="3">
        <v>244.47</v>
      </c>
      <c r="C227" s="3">
        <v>139.4</v>
      </c>
      <c r="D227" s="3">
        <v>354.11</v>
      </c>
      <c r="E227" s="3">
        <v>46.98</v>
      </c>
      <c r="F227" s="3">
        <v>33.64</v>
      </c>
      <c r="G227" s="4">
        <v>6129.58</v>
      </c>
      <c r="H227" s="30"/>
      <c r="I227" s="3">
        <f t="shared" si="17"/>
        <v>-5.3162125283384893E-4</v>
      </c>
      <c r="J227" s="3">
        <f t="shared" si="17"/>
        <v>3.953284573615142E-3</v>
      </c>
      <c r="K227" s="3">
        <f t="shared" si="17"/>
        <v>-4.8735922930660761E-3</v>
      </c>
      <c r="L227" s="3">
        <f t="shared" si="17"/>
        <v>1.242251999855711E-2</v>
      </c>
      <c r="M227" s="3">
        <f t="shared" si="18"/>
        <v>8.0585423414647334E-3</v>
      </c>
      <c r="N227" s="3">
        <f t="shared" si="18"/>
        <v>2.4419717448794743E-3</v>
      </c>
    </row>
    <row r="228" spans="1:14" x14ac:dyDescent="0.3">
      <c r="A228" s="2">
        <v>45702</v>
      </c>
      <c r="B228" s="3">
        <v>244.6</v>
      </c>
      <c r="C228" s="3">
        <v>138.85</v>
      </c>
      <c r="D228" s="3">
        <v>355.84</v>
      </c>
      <c r="E228" s="3">
        <v>46.4</v>
      </c>
      <c r="F228" s="3">
        <v>33.369999999999997</v>
      </c>
      <c r="G228" s="4">
        <v>6114.63</v>
      </c>
      <c r="H228" s="30"/>
      <c r="I228" s="3">
        <f t="shared" si="17"/>
        <v>1.2630534273072785E-2</v>
      </c>
      <c r="J228" s="3">
        <f t="shared" si="17"/>
        <v>2.5973591137539755E-2</v>
      </c>
      <c r="K228" s="3">
        <f t="shared" si="17"/>
        <v>-2.8098569967676025E-4</v>
      </c>
      <c r="L228" s="3">
        <f t="shared" si="17"/>
        <v>5.4024982833483417E-3</v>
      </c>
      <c r="M228" s="3">
        <f t="shared" si="18"/>
        <v>8.124010380265256E-3</v>
      </c>
      <c r="N228" s="3">
        <f t="shared" si="18"/>
        <v>-7.1955976056534599E-5</v>
      </c>
    </row>
    <row r="229" spans="1:14" x14ac:dyDescent="0.3">
      <c r="A229" s="2">
        <v>45701</v>
      </c>
      <c r="B229" s="3">
        <v>241.53</v>
      </c>
      <c r="C229" s="3">
        <v>135.29</v>
      </c>
      <c r="D229" s="3">
        <v>355.94</v>
      </c>
      <c r="E229" s="3">
        <v>46.15</v>
      </c>
      <c r="F229" s="3">
        <v>33.1</v>
      </c>
      <c r="G229" s="4">
        <v>6115.07</v>
      </c>
      <c r="H229" s="30"/>
      <c r="I229" s="3">
        <f t="shared" si="17"/>
        <v>1.9482221545508639E-2</v>
      </c>
      <c r="J229" s="3">
        <f t="shared" si="17"/>
        <v>3.1155167779795479E-2</v>
      </c>
      <c r="K229" s="3">
        <f t="shared" si="17"/>
        <v>5.613431099659786E-2</v>
      </c>
      <c r="L229" s="3">
        <f t="shared" si="17"/>
        <v>-5.6179923042232608E-3</v>
      </c>
      <c r="M229" s="3">
        <f t="shared" si="18"/>
        <v>5.4529065741481305E-3</v>
      </c>
      <c r="N229" s="3">
        <f t="shared" si="18"/>
        <v>1.0372377459622351E-2</v>
      </c>
    </row>
    <row r="230" spans="1:14" x14ac:dyDescent="0.3">
      <c r="A230" s="2">
        <v>45700</v>
      </c>
      <c r="B230" s="3">
        <v>236.87</v>
      </c>
      <c r="C230" s="3">
        <v>131.13999999999999</v>
      </c>
      <c r="D230" s="3">
        <v>336.51</v>
      </c>
      <c r="E230" s="3">
        <v>46.41</v>
      </c>
      <c r="F230" s="3">
        <v>32.92</v>
      </c>
      <c r="G230" s="4">
        <v>6051.97</v>
      </c>
      <c r="H230" s="30"/>
      <c r="I230" s="3">
        <f t="shared" si="17"/>
        <v>1.810524652359782E-2</v>
      </c>
      <c r="J230" s="3">
        <f t="shared" si="17"/>
        <v>-1.2578782206860298E-2</v>
      </c>
      <c r="K230" s="3">
        <f t="shared" si="17"/>
        <v>2.4091028400576399E-2</v>
      </c>
      <c r="L230" s="3">
        <f t="shared" si="17"/>
        <v>-1.4970339458865356E-2</v>
      </c>
      <c r="M230" s="3">
        <f t="shared" si="18"/>
        <v>-5.7549757502857474E-3</v>
      </c>
      <c r="N230" s="3">
        <f t="shared" si="18"/>
        <v>-2.7276186894511618E-3</v>
      </c>
    </row>
    <row r="231" spans="1:14" x14ac:dyDescent="0.3">
      <c r="A231" s="2">
        <v>45699</v>
      </c>
      <c r="B231" s="3">
        <v>232.62</v>
      </c>
      <c r="C231" s="3">
        <v>132.80000000000001</v>
      </c>
      <c r="D231" s="3">
        <v>328.5</v>
      </c>
      <c r="E231" s="3">
        <v>47.11</v>
      </c>
      <c r="F231" s="3">
        <v>33.11</v>
      </c>
      <c r="G231" s="4">
        <v>6068.5</v>
      </c>
      <c r="H231" s="30"/>
      <c r="I231" s="3">
        <f t="shared" si="17"/>
        <v>2.1596859130101596E-2</v>
      </c>
      <c r="J231" s="3">
        <f t="shared" si="17"/>
        <v>-5.7814479466803586E-3</v>
      </c>
      <c r="K231" s="3">
        <f t="shared" si="17"/>
        <v>-6.5479858762172063E-2</v>
      </c>
      <c r="L231" s="3">
        <f t="shared" si="17"/>
        <v>-6.3478842020771075E-3</v>
      </c>
      <c r="M231" s="3">
        <f t="shared" si="18"/>
        <v>9.0648140366441201E-4</v>
      </c>
      <c r="N231" s="3">
        <f t="shared" si="18"/>
        <v>3.3951548500248807E-4</v>
      </c>
    </row>
    <row r="232" spans="1:14" x14ac:dyDescent="0.3">
      <c r="A232" s="2">
        <v>45698</v>
      </c>
      <c r="B232" s="3">
        <v>227.65</v>
      </c>
      <c r="C232" s="3">
        <v>133.57</v>
      </c>
      <c r="D232" s="3">
        <v>350.73</v>
      </c>
      <c r="E232" s="3">
        <v>47.41</v>
      </c>
      <c r="F232" s="3">
        <v>33.08</v>
      </c>
      <c r="G232" s="4">
        <v>6066.44</v>
      </c>
      <c r="H232" s="30"/>
      <c r="I232" s="3">
        <f t="shared" si="17"/>
        <v>8.7858021493861051E-5</v>
      </c>
      <c r="J232" s="3">
        <f t="shared" si="17"/>
        <v>2.8322761782678136E-2</v>
      </c>
      <c r="K232" s="3">
        <f t="shared" si="17"/>
        <v>-3.0577240036170499E-2</v>
      </c>
      <c r="L232" s="3">
        <f t="shared" si="17"/>
        <v>2.5853378826333706E-2</v>
      </c>
      <c r="M232" s="3">
        <f t="shared" si="18"/>
        <v>1.4923377306020164E-2</v>
      </c>
      <c r="N232" s="3">
        <f t="shared" si="18"/>
        <v>6.6901608481496353E-3</v>
      </c>
    </row>
    <row r="233" spans="1:14" x14ac:dyDescent="0.3">
      <c r="A233" s="2">
        <v>45695</v>
      </c>
      <c r="B233" s="3">
        <v>227.63</v>
      </c>
      <c r="C233" s="3">
        <v>129.84</v>
      </c>
      <c r="D233" s="3">
        <v>361.62</v>
      </c>
      <c r="E233" s="3">
        <v>46.2</v>
      </c>
      <c r="F233" s="3">
        <v>32.590000000000003</v>
      </c>
      <c r="G233" s="4">
        <v>6025.99</v>
      </c>
      <c r="H233" s="30"/>
      <c r="I233" s="3">
        <f t="shared" si="17"/>
        <v>-2.4260710332889599E-2</v>
      </c>
      <c r="J233" s="3">
        <f t="shared" si="17"/>
        <v>8.974220835510088E-3</v>
      </c>
      <c r="K233" s="3">
        <f t="shared" si="17"/>
        <v>-3.4517109834953111E-2</v>
      </c>
      <c r="L233" s="3">
        <f t="shared" si="17"/>
        <v>-1.6742181143073409E-2</v>
      </c>
      <c r="M233" s="3">
        <f t="shared" si="18"/>
        <v>-4.5920790935186709E-3</v>
      </c>
      <c r="N233" s="3">
        <f t="shared" si="18"/>
        <v>-9.5099134821077444E-3</v>
      </c>
    </row>
    <row r="234" spans="1:14" x14ac:dyDescent="0.3">
      <c r="A234" s="2">
        <v>45694</v>
      </c>
      <c r="B234" s="3">
        <v>233.22</v>
      </c>
      <c r="C234" s="3">
        <v>128.68</v>
      </c>
      <c r="D234" s="3">
        <v>374.32</v>
      </c>
      <c r="E234" s="3">
        <v>46.98</v>
      </c>
      <c r="F234" s="3">
        <v>32.74</v>
      </c>
      <c r="G234" s="4">
        <v>6083.57</v>
      </c>
      <c r="H234" s="30"/>
      <c r="I234" s="3">
        <f t="shared" si="17"/>
        <v>3.2210296482183117E-3</v>
      </c>
      <c r="J234" s="3">
        <f t="shared" si="17"/>
        <v>3.0375890707866154E-2</v>
      </c>
      <c r="K234" s="3">
        <f t="shared" si="17"/>
        <v>-1.0232783410686183E-2</v>
      </c>
      <c r="L234" s="3">
        <f t="shared" si="17"/>
        <v>-3.9032399258025076E-2</v>
      </c>
      <c r="M234" s="3">
        <f t="shared" si="18"/>
        <v>-4.2669982449902895E-3</v>
      </c>
      <c r="N234" s="3">
        <f t="shared" si="18"/>
        <v>3.637700027498819E-3</v>
      </c>
    </row>
    <row r="235" spans="1:14" x14ac:dyDescent="0.3">
      <c r="A235" s="2">
        <v>45693</v>
      </c>
      <c r="B235" s="3">
        <v>232.47</v>
      </c>
      <c r="C235" s="3">
        <v>124.83</v>
      </c>
      <c r="D235" s="3">
        <v>378.17</v>
      </c>
      <c r="E235" s="3">
        <v>48.85</v>
      </c>
      <c r="F235" s="3">
        <v>32.880000000000003</v>
      </c>
      <c r="G235" s="4">
        <v>6061.48</v>
      </c>
      <c r="H235" s="30"/>
      <c r="I235" s="3">
        <f t="shared" si="17"/>
        <v>-1.4185314133143574E-3</v>
      </c>
      <c r="J235" s="3">
        <f t="shared" si="17"/>
        <v>5.0774828781187074E-2</v>
      </c>
      <c r="K235" s="3">
        <f t="shared" si="17"/>
        <v>-3.6453580663859418E-2</v>
      </c>
      <c r="L235" s="3">
        <f t="shared" si="17"/>
        <v>1.8387048329478354E-2</v>
      </c>
      <c r="M235" s="3">
        <f t="shared" si="18"/>
        <v>3.0418251185130603E-4</v>
      </c>
      <c r="N235" s="3">
        <f t="shared" si="18"/>
        <v>3.9010377290886913E-3</v>
      </c>
    </row>
    <row r="236" spans="1:14" x14ac:dyDescent="0.3">
      <c r="A236" s="2">
        <v>45692</v>
      </c>
      <c r="B236" s="3">
        <v>232.8</v>
      </c>
      <c r="C236" s="3">
        <v>118.65</v>
      </c>
      <c r="D236" s="3">
        <v>392.21</v>
      </c>
      <c r="E236" s="3">
        <v>47.96</v>
      </c>
      <c r="F236" s="3">
        <v>32.869999999999997</v>
      </c>
      <c r="G236" s="4">
        <v>6037.88</v>
      </c>
      <c r="H236" s="30"/>
      <c r="I236" s="3">
        <f t="shared" si="17"/>
        <v>2.0790228215525564E-2</v>
      </c>
      <c r="J236" s="3">
        <f t="shared" si="17"/>
        <v>1.6914261556281014E-2</v>
      </c>
      <c r="K236" s="3">
        <f t="shared" si="17"/>
        <v>2.1988538793356979E-2</v>
      </c>
      <c r="L236" s="3">
        <f t="shared" si="17"/>
        <v>1.1745101458282673E-2</v>
      </c>
      <c r="M236" s="3">
        <f t="shared" si="18"/>
        <v>1.101265336031404E-2</v>
      </c>
      <c r="N236" s="3">
        <f t="shared" si="18"/>
        <v>7.1988974883324779E-3</v>
      </c>
    </row>
    <row r="237" spans="1:14" x14ac:dyDescent="0.3">
      <c r="A237" s="2">
        <v>45691</v>
      </c>
      <c r="B237" s="3">
        <v>228.01</v>
      </c>
      <c r="C237" s="3">
        <v>116.66</v>
      </c>
      <c r="D237" s="3">
        <v>383.68</v>
      </c>
      <c r="E237" s="3">
        <v>47.4</v>
      </c>
      <c r="F237" s="3">
        <v>32.51</v>
      </c>
      <c r="G237" s="4">
        <v>5994.57</v>
      </c>
      <c r="H237" s="30"/>
      <c r="I237" s="3">
        <f t="shared" si="17"/>
        <v>-3.4442317383852845E-2</v>
      </c>
      <c r="J237" s="3">
        <f t="shared" si="17"/>
        <v>-2.8811184717135074E-2</v>
      </c>
      <c r="K237" s="3">
        <f t="shared" si="17"/>
        <v>-5.3090052894495664E-2</v>
      </c>
      <c r="L237" s="3">
        <f t="shared" si="17"/>
        <v>2.6075424774681385E-2</v>
      </c>
      <c r="M237" s="3">
        <f t="shared" si="18"/>
        <v>-1.1012653360314036E-2</v>
      </c>
      <c r="N237" s="3">
        <f t="shared" si="18"/>
        <v>-7.637696973119063E-3</v>
      </c>
    </row>
    <row r="238" spans="1:14" x14ac:dyDescent="0.3">
      <c r="A238" s="2">
        <v>45688</v>
      </c>
      <c r="B238" s="3">
        <v>236</v>
      </c>
      <c r="C238" s="3">
        <v>120.07</v>
      </c>
      <c r="D238" s="3">
        <v>404.6</v>
      </c>
      <c r="E238" s="3">
        <v>46.18</v>
      </c>
      <c r="F238" s="3">
        <v>32.869999999999997</v>
      </c>
      <c r="G238" s="4">
        <v>6040.53</v>
      </c>
      <c r="H238" s="30"/>
      <c r="I238" s="3">
        <f t="shared" si="17"/>
        <v>-6.714694035086833E-3</v>
      </c>
      <c r="J238" s="3">
        <f t="shared" si="17"/>
        <v>-3.743490392694037E-2</v>
      </c>
      <c r="K238" s="3">
        <f t="shared" si="17"/>
        <v>1.0734622511389938E-2</v>
      </c>
      <c r="L238" s="3">
        <f t="shared" si="17"/>
        <v>3.4812944900330864E-2</v>
      </c>
      <c r="M238" s="3">
        <f t="shared" si="18"/>
        <v>3.0427506700587059E-4</v>
      </c>
      <c r="N238" s="3">
        <f t="shared" si="18"/>
        <v>-5.0595812914254659E-3</v>
      </c>
    </row>
    <row r="239" spans="1:14" x14ac:dyDescent="0.3">
      <c r="A239" s="2">
        <v>45687</v>
      </c>
      <c r="B239" s="3">
        <v>237.59</v>
      </c>
      <c r="C239" s="3">
        <v>124.65</v>
      </c>
      <c r="D239" s="3">
        <v>400.28</v>
      </c>
      <c r="E239" s="3">
        <v>44.6</v>
      </c>
      <c r="F239" s="3">
        <v>32.86</v>
      </c>
      <c r="G239" s="4">
        <v>6071.17</v>
      </c>
      <c r="I239" s="3">
        <f t="shared" si="17"/>
        <v>-7.4221957254156003E-3</v>
      </c>
      <c r="J239" s="3">
        <f t="shared" si="17"/>
        <v>7.6505305711246667E-3</v>
      </c>
      <c r="K239" s="3">
        <f t="shared" si="17"/>
        <v>2.8327922231747241E-2</v>
      </c>
      <c r="L239" s="3">
        <f t="shared" si="17"/>
        <v>3.4907159959999254E-2</v>
      </c>
      <c r="M239" s="3">
        <f t="shared" si="18"/>
        <v>-3.6452045223306978E-3</v>
      </c>
      <c r="N239" s="3">
        <f t="shared" si="18"/>
        <v>5.2615707224356184E-3</v>
      </c>
    </row>
    <row r="240" spans="1:14" x14ac:dyDescent="0.3">
      <c r="A240" s="2">
        <v>45686</v>
      </c>
      <c r="B240" s="3">
        <v>239.36</v>
      </c>
      <c r="C240" s="3">
        <v>123.7</v>
      </c>
      <c r="D240" s="3">
        <v>389.1</v>
      </c>
      <c r="E240" s="3">
        <v>43.07</v>
      </c>
      <c r="F240" s="3">
        <v>32.979999999999997</v>
      </c>
      <c r="G240" s="4">
        <v>6039.31</v>
      </c>
      <c r="I240" s="3">
        <f t="shared" si="17"/>
        <v>4.6061804148975023E-3</v>
      </c>
      <c r="J240" s="3">
        <f t="shared" si="17"/>
        <v>-4.1875602578602553E-2</v>
      </c>
      <c r="K240" s="3">
        <f t="shared" si="17"/>
        <v>-2.2841730383513555E-2</v>
      </c>
      <c r="L240" s="3">
        <f t="shared" si="17"/>
        <v>-4.8639354722069036E-3</v>
      </c>
      <c r="M240" s="3">
        <f t="shared" si="18"/>
        <v>9.1380471396506104E-3</v>
      </c>
      <c r="N240" s="3">
        <f t="shared" si="18"/>
        <v>-4.6898535700948913E-3</v>
      </c>
    </row>
    <row r="241" spans="1:14" x14ac:dyDescent="0.3">
      <c r="A241" s="2">
        <v>45685</v>
      </c>
      <c r="B241" s="3">
        <v>238.26</v>
      </c>
      <c r="C241" s="3">
        <v>128.99</v>
      </c>
      <c r="D241" s="3">
        <v>398.09</v>
      </c>
      <c r="E241" s="3">
        <v>43.28</v>
      </c>
      <c r="F241" s="3">
        <v>32.68</v>
      </c>
      <c r="G241" s="4">
        <v>6067.7</v>
      </c>
      <c r="I241" s="3">
        <f t="shared" si="17"/>
        <v>3.5892086430602384E-2</v>
      </c>
      <c r="J241" s="3">
        <f t="shared" si="17"/>
        <v>8.5497254873414752E-2</v>
      </c>
      <c r="K241" s="3">
        <f t="shared" si="17"/>
        <v>2.3640672948804699E-3</v>
      </c>
      <c r="L241" s="3">
        <f t="shared" si="17"/>
        <v>-6.2190687602856213E-3</v>
      </c>
      <c r="M241" s="3">
        <f t="shared" si="18"/>
        <v>-2.8952565112945146E-2</v>
      </c>
      <c r="N241" s="3">
        <f t="shared" si="18"/>
        <v>9.1755762546756169E-3</v>
      </c>
    </row>
    <row r="242" spans="1:14" x14ac:dyDescent="0.3">
      <c r="A242" s="2">
        <v>45684</v>
      </c>
      <c r="B242" s="3">
        <v>229.86</v>
      </c>
      <c r="C242" s="3">
        <v>118.42</v>
      </c>
      <c r="D242" s="3">
        <v>397.15</v>
      </c>
      <c r="E242" s="3">
        <v>43.55</v>
      </c>
      <c r="F242" s="3">
        <v>33.64</v>
      </c>
      <c r="G242" s="4">
        <v>6012.28</v>
      </c>
      <c r="I242" s="3">
        <f t="shared" si="17"/>
        <v>3.1285690523568978E-2</v>
      </c>
      <c r="J242" s="3">
        <f t="shared" si="17"/>
        <v>-0.18594612349652748</v>
      </c>
      <c r="K242" s="3">
        <f t="shared" si="17"/>
        <v>-2.3466668513776968E-2</v>
      </c>
      <c r="L242" s="3">
        <f t="shared" si="17"/>
        <v>-4.4900920407455545E-2</v>
      </c>
      <c r="M242" s="3">
        <f t="shared" si="18"/>
        <v>2.8646614368628115E-2</v>
      </c>
      <c r="N242" s="3">
        <f t="shared" si="18"/>
        <v>-1.4687984883634318E-2</v>
      </c>
    </row>
    <row r="243" spans="1:14" x14ac:dyDescent="0.3">
      <c r="A243" s="2">
        <v>45681</v>
      </c>
      <c r="B243" s="3">
        <v>222.78</v>
      </c>
      <c r="C243" s="3">
        <v>142.62</v>
      </c>
      <c r="D243" s="3">
        <v>406.58</v>
      </c>
      <c r="E243" s="3">
        <v>45.55</v>
      </c>
      <c r="F243" s="3">
        <v>32.69</v>
      </c>
      <c r="G243" s="4">
        <v>6101.24</v>
      </c>
      <c r="I243" s="3">
        <f t="shared" si="17"/>
        <v>-3.9423041829985839E-3</v>
      </c>
      <c r="J243" s="3">
        <f t="shared" si="17"/>
        <v>-3.1744316030402252E-2</v>
      </c>
      <c r="K243" s="3">
        <f t="shared" si="17"/>
        <v>-1.41645427686508E-2</v>
      </c>
      <c r="L243" s="3">
        <f t="shared" si="17"/>
        <v>-2.4120173956821336E-3</v>
      </c>
      <c r="M243" s="3">
        <f t="shared" si="18"/>
        <v>-2.9538012436863985E-2</v>
      </c>
      <c r="N243" s="3">
        <f t="shared" si="18"/>
        <v>-2.8592607828964826E-3</v>
      </c>
    </row>
    <row r="244" spans="1:14" x14ac:dyDescent="0.3">
      <c r="A244" s="2">
        <v>45680</v>
      </c>
      <c r="B244" s="3">
        <v>223.66</v>
      </c>
      <c r="C244" s="3">
        <v>147.22</v>
      </c>
      <c r="D244" s="3">
        <v>412.38</v>
      </c>
      <c r="E244" s="3">
        <v>45.66</v>
      </c>
      <c r="F244" s="3">
        <v>33.67</v>
      </c>
      <c r="G244" s="4">
        <v>6118.71</v>
      </c>
      <c r="I244" s="3">
        <f t="shared" si="17"/>
        <v>-7.5979355149053557E-4</v>
      </c>
      <c r="J244" s="3">
        <f t="shared" si="17"/>
        <v>1.0194027183375537E-3</v>
      </c>
      <c r="K244" s="3">
        <f t="shared" si="17"/>
        <v>-6.5982909878338734E-3</v>
      </c>
      <c r="L244" s="3">
        <f t="shared" si="17"/>
        <v>-3.2797667970013598E-3</v>
      </c>
      <c r="M244" s="3">
        <f t="shared" si="18"/>
        <v>1.285326318573571E-2</v>
      </c>
      <c r="N244" s="3">
        <f t="shared" si="18"/>
        <v>5.2994450977238887E-3</v>
      </c>
    </row>
    <row r="245" spans="1:14" x14ac:dyDescent="0.3">
      <c r="A245" s="2">
        <v>45679</v>
      </c>
      <c r="B245" s="3">
        <v>223.83</v>
      </c>
      <c r="C245" s="3">
        <v>147.07</v>
      </c>
      <c r="D245" s="3">
        <v>415.11</v>
      </c>
      <c r="E245" s="3">
        <v>45.81</v>
      </c>
      <c r="F245" s="3">
        <v>33.24</v>
      </c>
      <c r="G245" s="4">
        <v>6086.37</v>
      </c>
      <c r="I245" s="3">
        <f t="shared" si="17"/>
        <v>5.3307179338975266E-3</v>
      </c>
      <c r="J245" s="3">
        <f t="shared" si="17"/>
        <v>4.3355174702263348E-2</v>
      </c>
      <c r="K245" s="3">
        <f t="shared" si="17"/>
        <v>-2.1354990595606967E-2</v>
      </c>
      <c r="L245" s="3">
        <f t="shared" si="17"/>
        <v>-2.6495895691720662E-2</v>
      </c>
      <c r="M245" s="3">
        <f t="shared" si="18"/>
        <v>-9.021200431379089E-4</v>
      </c>
      <c r="N245" s="3">
        <f t="shared" si="18"/>
        <v>6.1192005774427091E-3</v>
      </c>
    </row>
    <row r="246" spans="1:14" x14ac:dyDescent="0.3">
      <c r="A246" s="2">
        <v>45678</v>
      </c>
      <c r="B246" s="3">
        <v>222.64</v>
      </c>
      <c r="C246" s="3">
        <v>140.83000000000001</v>
      </c>
      <c r="D246" s="3">
        <v>424.07</v>
      </c>
      <c r="E246" s="3">
        <v>47.04</v>
      </c>
      <c r="F246" s="3">
        <v>33.270000000000003</v>
      </c>
      <c r="G246" s="4">
        <v>6049.24</v>
      </c>
      <c r="I246" s="3">
        <f t="shared" si="17"/>
        <v>-3.2436231402883438E-2</v>
      </c>
      <c r="J246" s="3">
        <f t="shared" si="17"/>
        <v>2.2403464470924412E-2</v>
      </c>
      <c r="K246" s="3">
        <f t="shared" si="17"/>
        <v>-5.7138309867241317E-3</v>
      </c>
      <c r="L246" s="3">
        <f t="shared" si="17"/>
        <v>1.0686145716225733E-2</v>
      </c>
      <c r="M246" s="3">
        <f t="shared" si="18"/>
        <v>1.6364001517296434E-2</v>
      </c>
      <c r="N246" s="3">
        <f t="shared" si="18"/>
        <v>8.7299967522312897E-3</v>
      </c>
    </row>
    <row r="247" spans="1:14" x14ac:dyDescent="0.3">
      <c r="A247" s="2">
        <v>45674</v>
      </c>
      <c r="B247" s="3">
        <v>229.98</v>
      </c>
      <c r="C247" s="3">
        <v>137.71</v>
      </c>
      <c r="D247" s="3">
        <v>426.5</v>
      </c>
      <c r="E247" s="3">
        <v>46.54</v>
      </c>
      <c r="F247" s="3">
        <v>32.729999999999997</v>
      </c>
      <c r="G247" s="4">
        <v>5996.66</v>
      </c>
      <c r="I247" s="3">
        <f t="shared" si="17"/>
        <v>7.5070184950648353E-3</v>
      </c>
      <c r="J247" s="3">
        <f t="shared" si="17"/>
        <v>3.0524339750020613E-2</v>
      </c>
      <c r="K247" s="3">
        <f t="shared" si="17"/>
        <v>3.0181270260479016E-2</v>
      </c>
      <c r="L247" s="3">
        <f t="shared" si="17"/>
        <v>4.5224584455886441E-3</v>
      </c>
      <c r="M247" s="3">
        <f t="shared" si="18"/>
        <v>-7.3059685705506063E-3</v>
      </c>
      <c r="N247" s="3">
        <f t="shared" si="18"/>
        <v>9.9414259357241096E-3</v>
      </c>
    </row>
    <row r="248" spans="1:14" x14ac:dyDescent="0.3">
      <c r="A248" s="2">
        <v>45673</v>
      </c>
      <c r="B248" s="3">
        <v>228.26</v>
      </c>
      <c r="C248" s="3">
        <v>133.57</v>
      </c>
      <c r="D248" s="3">
        <v>413.82</v>
      </c>
      <c r="E248" s="3">
        <v>46.33</v>
      </c>
      <c r="F248" s="3">
        <v>32.97</v>
      </c>
      <c r="G248" s="4">
        <v>5937.34</v>
      </c>
      <c r="I248" s="3">
        <f t="shared" si="17"/>
        <v>-4.1238975826963314E-2</v>
      </c>
      <c r="J248" s="3">
        <f t="shared" si="17"/>
        <v>-1.9792351365419E-2</v>
      </c>
      <c r="K248" s="3">
        <f t="shared" si="17"/>
        <v>-3.4205985539776232E-2</v>
      </c>
      <c r="L248" s="3">
        <f t="shared" si="17"/>
        <v>1.3253860501947172E-2</v>
      </c>
      <c r="M248" s="3">
        <f t="shared" si="18"/>
        <v>1.5589494997194399E-2</v>
      </c>
      <c r="N248" s="3">
        <f t="shared" si="18"/>
        <v>-2.1148717634665781E-3</v>
      </c>
    </row>
    <row r="249" spans="1:14" x14ac:dyDescent="0.3">
      <c r="A249" s="2">
        <v>45672</v>
      </c>
      <c r="B249" s="3">
        <v>237.87</v>
      </c>
      <c r="C249" s="3">
        <v>136.24</v>
      </c>
      <c r="D249" s="3">
        <v>428.22</v>
      </c>
      <c r="E249" s="3">
        <v>45.72</v>
      </c>
      <c r="F249" s="3">
        <v>32.46</v>
      </c>
      <c r="G249" s="4">
        <v>5949.91</v>
      </c>
      <c r="I249" s="3">
        <f t="shared" si="17"/>
        <v>1.9484857132124001E-2</v>
      </c>
      <c r="J249" s="3">
        <f t="shared" si="17"/>
        <v>3.3435950485048091E-2</v>
      </c>
      <c r="K249" s="3">
        <f t="shared" si="17"/>
        <v>7.731419302033242E-2</v>
      </c>
      <c r="L249" s="3">
        <f t="shared" si="17"/>
        <v>1.4319002224053018E-2</v>
      </c>
      <c r="M249" s="3">
        <f t="shared" si="18"/>
        <v>9.9072017770787425E-3</v>
      </c>
      <c r="N249" s="3">
        <f t="shared" si="18"/>
        <v>1.8147132985426716E-2</v>
      </c>
    </row>
    <row r="250" spans="1:14" x14ac:dyDescent="0.3">
      <c r="A250" s="2">
        <v>45671</v>
      </c>
      <c r="B250" s="3">
        <v>233.28</v>
      </c>
      <c r="C250" s="3">
        <v>131.76</v>
      </c>
      <c r="D250" s="3">
        <v>396.36</v>
      </c>
      <c r="E250" s="3">
        <v>45.07</v>
      </c>
      <c r="F250" s="3">
        <v>32.14</v>
      </c>
      <c r="G250" s="4">
        <v>5842.91</v>
      </c>
      <c r="I250" s="3">
        <f t="shared" si="17"/>
        <v>-4.7896088825642048E-3</v>
      </c>
      <c r="J250" s="3">
        <f t="shared" si="17"/>
        <v>-1.1094872102735659E-2</v>
      </c>
      <c r="K250" s="3">
        <f t="shared" si="17"/>
        <v>-1.7382607818861549E-2</v>
      </c>
      <c r="L250" s="3">
        <f t="shared" si="17"/>
        <v>5.3392785352088939E-3</v>
      </c>
      <c r="M250" s="3">
        <f t="shared" si="18"/>
        <v>7.8088792874003573E-3</v>
      </c>
      <c r="N250" s="3">
        <f t="shared" si="18"/>
        <v>1.1456334044923633E-3</v>
      </c>
    </row>
    <row r="251" spans="1:14" x14ac:dyDescent="0.3">
      <c r="A251" s="2">
        <v>45670</v>
      </c>
      <c r="B251" s="3">
        <v>234.4</v>
      </c>
      <c r="C251" s="3">
        <v>133.22999999999999</v>
      </c>
      <c r="D251" s="3">
        <v>403.31</v>
      </c>
      <c r="E251" s="3">
        <v>44.83</v>
      </c>
      <c r="F251" s="3">
        <v>31.89</v>
      </c>
      <c r="G251" s="4">
        <v>5836.22</v>
      </c>
      <c r="I251" s="3">
        <f t="shared" si="17"/>
        <v>-1.0397971666903203E-2</v>
      </c>
      <c r="J251" s="3">
        <f t="shared" si="17"/>
        <v>-1.9915943995135368E-2</v>
      </c>
      <c r="K251" s="3">
        <f t="shared" si="17"/>
        <v>2.1478176683598593E-2</v>
      </c>
      <c r="L251" s="3">
        <f t="shared" si="17"/>
        <v>3.5649137642435332E-2</v>
      </c>
      <c r="M251" s="3">
        <f t="shared" si="18"/>
        <v>3.455319913396278E-3</v>
      </c>
      <c r="N251" s="3">
        <f t="shared" si="18"/>
        <v>1.5741742695762329E-3</v>
      </c>
    </row>
    <row r="252" spans="1:14" x14ac:dyDescent="0.3">
      <c r="A252" s="2">
        <v>45667</v>
      </c>
      <c r="B252" s="3">
        <v>236.85</v>
      </c>
      <c r="C252" s="3">
        <v>135.91</v>
      </c>
      <c r="D252" s="3">
        <v>394.74</v>
      </c>
      <c r="E252" s="3">
        <v>43.26</v>
      </c>
      <c r="F252" s="3">
        <v>31.78</v>
      </c>
      <c r="G252" s="4">
        <v>5827.04</v>
      </c>
      <c r="I252" s="3">
        <f t="shared" si="17"/>
        <v>-2.4399083362794845E-2</v>
      </c>
      <c r="J252" s="3">
        <f t="shared" si="17"/>
        <v>-3.0434926415884248E-2</v>
      </c>
      <c r="K252" s="3">
        <f t="shared" si="17"/>
        <v>-5.0653430320193524E-4</v>
      </c>
      <c r="L252" s="3">
        <f t="shared" si="17"/>
        <v>-4.1522551007673074E-3</v>
      </c>
      <c r="M252" s="3">
        <f t="shared" si="18"/>
        <v>-1.3129291441792736E-2</v>
      </c>
      <c r="N252" s="3">
        <f t="shared" si="18"/>
        <v>-1.5531644353894208E-2</v>
      </c>
    </row>
    <row r="253" spans="1:14" x14ac:dyDescent="0.3">
      <c r="A253" s="2">
        <v>45665</v>
      </c>
      <c r="B253" s="3">
        <v>242.7</v>
      </c>
      <c r="C253" s="3">
        <v>140.11000000000001</v>
      </c>
      <c r="D253" s="3">
        <v>394.94</v>
      </c>
      <c r="E253" s="3">
        <v>43.44</v>
      </c>
      <c r="F253" s="3">
        <v>32.200000000000003</v>
      </c>
      <c r="G253" s="4">
        <v>5918.25</v>
      </c>
      <c r="I253" s="3">
        <f t="shared" si="17"/>
        <v>2.0209942743203797E-3</v>
      </c>
      <c r="J253" s="3">
        <f t="shared" si="17"/>
        <v>-2.140945592475461E-4</v>
      </c>
      <c r="K253" s="3">
        <f t="shared" si="17"/>
        <v>1.4696569223229571E-3</v>
      </c>
      <c r="L253" s="3">
        <f t="shared" si="17"/>
        <v>9.2123451932084018E-4</v>
      </c>
      <c r="M253" s="3">
        <f t="shared" si="18"/>
        <v>3.1060723964596102E-4</v>
      </c>
      <c r="N253" s="3">
        <f t="shared" si="18"/>
        <v>1.559107735282887E-3</v>
      </c>
    </row>
    <row r="254" spans="1:14" x14ac:dyDescent="0.3">
      <c r="A254" s="2">
        <v>45664</v>
      </c>
      <c r="B254" s="3">
        <v>242.21</v>
      </c>
      <c r="C254" s="3">
        <v>140.13999999999999</v>
      </c>
      <c r="D254" s="3">
        <v>394.36</v>
      </c>
      <c r="E254" s="3">
        <v>43.4</v>
      </c>
      <c r="F254" s="3">
        <v>32.19</v>
      </c>
      <c r="G254" s="4">
        <v>5909.03</v>
      </c>
      <c r="I254" s="3">
        <f t="shared" si="17"/>
        <v>-1.1453092086491822E-2</v>
      </c>
      <c r="J254" s="3">
        <f t="shared" si="17"/>
        <v>-6.4186132810914065E-2</v>
      </c>
      <c r="K254" s="3">
        <f t="shared" si="17"/>
        <v>-4.1450663891301837E-2</v>
      </c>
      <c r="L254" s="3">
        <f t="shared" si="17"/>
        <v>1.3220649479079577E-2</v>
      </c>
      <c r="M254" s="3">
        <f t="shared" si="18"/>
        <v>5.9199425109901773E-3</v>
      </c>
      <c r="N254" s="3">
        <f t="shared" si="18"/>
        <v>-1.116600476981219E-2</v>
      </c>
    </row>
    <row r="255" spans="1:14" x14ac:dyDescent="0.3">
      <c r="A255" s="2">
        <v>45663</v>
      </c>
      <c r="B255" s="3">
        <v>245</v>
      </c>
      <c r="C255" s="3">
        <v>149.43</v>
      </c>
      <c r="D255" s="3">
        <v>411.05</v>
      </c>
      <c r="E255" s="3">
        <v>42.83</v>
      </c>
      <c r="F255" s="3">
        <v>32</v>
      </c>
      <c r="G255" s="4">
        <v>5975.38</v>
      </c>
      <c r="I255" s="3">
        <f t="shared" si="17"/>
        <v>6.7163820337442027E-3</v>
      </c>
      <c r="J255" s="3">
        <f t="shared" si="17"/>
        <v>3.3756182212011883E-2</v>
      </c>
      <c r="K255" s="3">
        <f t="shared" si="17"/>
        <v>1.4851066041341062E-3</v>
      </c>
      <c r="L255" s="3">
        <f t="shared" si="17"/>
        <v>3.9770785840750394E-3</v>
      </c>
      <c r="M255" s="3">
        <f t="shared" si="18"/>
        <v>-1.0568951349234313E-2</v>
      </c>
      <c r="N255" s="3">
        <f t="shared" si="18"/>
        <v>5.5228222624888485E-3</v>
      </c>
    </row>
    <row r="256" spans="1:14" x14ac:dyDescent="0.3">
      <c r="A256" s="2">
        <v>45660</v>
      </c>
      <c r="B256" s="3">
        <v>243.36</v>
      </c>
      <c r="C256" s="3">
        <v>144.47</v>
      </c>
      <c r="D256" s="3">
        <v>410.44</v>
      </c>
      <c r="E256" s="3">
        <v>42.66</v>
      </c>
      <c r="F256" s="3">
        <v>32.340000000000003</v>
      </c>
      <c r="G256" s="4">
        <v>5942.47</v>
      </c>
      <c r="I256" s="3">
        <f t="shared" si="17"/>
        <v>-2.0114536450788353E-3</v>
      </c>
      <c r="J256" s="3">
        <f t="shared" si="17"/>
        <v>4.3574330904673421E-2</v>
      </c>
      <c r="K256" s="3">
        <f t="shared" si="17"/>
        <v>7.8955036400145479E-2</v>
      </c>
      <c r="L256" s="3">
        <f t="shared" si="17"/>
        <v>2.6123546812177826E-2</v>
      </c>
      <c r="M256" s="3">
        <f t="shared" si="18"/>
        <v>5.581409838195486E-3</v>
      </c>
      <c r="N256" s="3">
        <f t="shared" si="18"/>
        <v>1.2517287272659085E-2</v>
      </c>
    </row>
    <row r="257" spans="1:14" x14ac:dyDescent="0.3">
      <c r="A257" s="2">
        <v>45659</v>
      </c>
      <c r="B257" s="3">
        <v>243.85</v>
      </c>
      <c r="C257" s="3">
        <v>138.31</v>
      </c>
      <c r="D257" s="3">
        <v>379.28</v>
      </c>
      <c r="E257" s="3">
        <v>41.56</v>
      </c>
      <c r="F257" s="3">
        <v>32.159999999999997</v>
      </c>
      <c r="G257" s="4">
        <v>5868.55</v>
      </c>
      <c r="I257" s="3">
        <f t="shared" si="17"/>
        <v>-2.6586226084739983E-2</v>
      </c>
      <c r="J257" s="3">
        <f t="shared" si="17"/>
        <v>2.9495902043532696E-2</v>
      </c>
      <c r="K257" s="3">
        <f t="shared" si="17"/>
        <v>-6.2744041318930799E-2</v>
      </c>
      <c r="L257" s="3">
        <f t="shared" si="17"/>
        <v>1.3078413586792096E-2</v>
      </c>
      <c r="M257" s="3">
        <f t="shared" si="18"/>
        <v>-3.4145617531050922E-3</v>
      </c>
      <c r="N257" s="3">
        <f t="shared" si="18"/>
        <v>-2.2263497925529528E-3</v>
      </c>
    </row>
    <row r="258" spans="1:14" x14ac:dyDescent="0.3">
      <c r="A258" s="2">
        <v>45657</v>
      </c>
      <c r="B258" s="3">
        <v>250.42</v>
      </c>
      <c r="C258" s="3">
        <v>134.29</v>
      </c>
      <c r="D258" s="3">
        <v>403.84</v>
      </c>
      <c r="E258" s="3">
        <v>41.02</v>
      </c>
      <c r="F258" s="3">
        <v>32.270000000000003</v>
      </c>
      <c r="G258" s="4">
        <v>5881.63</v>
      </c>
      <c r="I258" s="3">
        <f t="shared" si="17"/>
        <v>-7.0829152900175382E-3</v>
      </c>
      <c r="J258" s="3">
        <f t="shared" si="17"/>
        <v>-2.3549546596058561E-2</v>
      </c>
      <c r="K258" s="3">
        <f t="shared" si="17"/>
        <v>-3.3050192277534286E-2</v>
      </c>
      <c r="L258" s="3">
        <f t="shared" si="17"/>
        <v>1.9521724110911926E-3</v>
      </c>
      <c r="M258" s="3">
        <f t="shared" si="18"/>
        <v>3.7255553802421075E-3</v>
      </c>
      <c r="N258" s="3">
        <f t="shared" si="18"/>
        <v>-4.2939964541344501E-3</v>
      </c>
    </row>
    <row r="259" spans="1:14" x14ac:dyDescent="0.3">
      <c r="A259" s="2">
        <v>45656</v>
      </c>
      <c r="B259" s="3">
        <v>252.2</v>
      </c>
      <c r="C259" s="3">
        <v>137.49</v>
      </c>
      <c r="D259" s="3">
        <v>417.41</v>
      </c>
      <c r="E259" s="3">
        <v>40.94</v>
      </c>
      <c r="F259" s="3">
        <v>32.15</v>
      </c>
      <c r="G259" s="4">
        <v>5906.94</v>
      </c>
      <c r="I259" s="3">
        <f t="shared" si="17"/>
        <v>-1.3352174576538492E-2</v>
      </c>
      <c r="J259" s="3">
        <f t="shared" si="17"/>
        <v>3.4972713241252736E-3</v>
      </c>
      <c r="K259" s="3">
        <f t="shared" si="17"/>
        <v>-3.3569289140496533E-2</v>
      </c>
      <c r="L259" s="3">
        <f t="shared" ref="L259:N322" si="19">LN(E259/E260)</f>
        <v>3.4254988230274425E-3</v>
      </c>
      <c r="M259" s="3">
        <f t="shared" si="18"/>
        <v>-9.596111402816845E-3</v>
      </c>
      <c r="N259" s="3">
        <f t="shared" si="18"/>
        <v>-1.0759690191101295E-2</v>
      </c>
    </row>
    <row r="260" spans="1:14" x14ac:dyDescent="0.3">
      <c r="A260" s="2">
        <v>45653</v>
      </c>
      <c r="B260" s="3">
        <v>255.59</v>
      </c>
      <c r="C260" s="3">
        <v>137.01</v>
      </c>
      <c r="D260" s="3">
        <v>431.66</v>
      </c>
      <c r="E260" s="3">
        <v>40.799999999999997</v>
      </c>
      <c r="F260" s="3">
        <v>32.46</v>
      </c>
      <c r="G260" s="4">
        <v>5970.84</v>
      </c>
      <c r="I260" s="3">
        <f t="shared" ref="I260:N323" si="20">LN(B260/B261)</f>
        <v>-1.3330680688083499E-2</v>
      </c>
      <c r="J260" s="3">
        <f t="shared" si="20"/>
        <v>-2.1088381702604804E-2</v>
      </c>
      <c r="K260" s="3">
        <f t="shared" si="20"/>
        <v>-5.0745259334350541E-2</v>
      </c>
      <c r="L260" s="3">
        <f t="shared" si="19"/>
        <v>-1.9588644853331455E-3</v>
      </c>
      <c r="M260" s="3">
        <f t="shared" si="19"/>
        <v>-1.8467225931647741E-3</v>
      </c>
      <c r="N260" s="3">
        <f t="shared" si="19"/>
        <v>-1.111730467559637E-2</v>
      </c>
    </row>
    <row r="261" spans="1:14" x14ac:dyDescent="0.3">
      <c r="A261" s="2">
        <v>45652</v>
      </c>
      <c r="B261" s="3">
        <v>259.02</v>
      </c>
      <c r="C261" s="3">
        <v>139.93</v>
      </c>
      <c r="D261" s="3">
        <v>454.13</v>
      </c>
      <c r="E261" s="3">
        <v>40.880000000000003</v>
      </c>
      <c r="F261" s="3">
        <v>32.520000000000003</v>
      </c>
      <c r="G261" s="4">
        <v>6037.59</v>
      </c>
      <c r="I261" s="3">
        <f t="shared" si="20"/>
        <v>3.1708003828989626E-3</v>
      </c>
      <c r="J261" s="3">
        <f t="shared" si="20"/>
        <v>-2.070320211199508E-3</v>
      </c>
      <c r="K261" s="3">
        <f t="shared" si="20"/>
        <v>-1.7787267442065515E-2</v>
      </c>
      <c r="L261" s="3">
        <f t="shared" si="19"/>
        <v>2.2039925659820153E-3</v>
      </c>
      <c r="M261" s="3">
        <f t="shared" si="19"/>
        <v>-1.5363346085322056E-3</v>
      </c>
      <c r="N261" s="3">
        <f t="shared" si="19"/>
        <v>-4.0570874146761795E-4</v>
      </c>
    </row>
    <row r="262" spans="1:14" x14ac:dyDescent="0.3">
      <c r="A262" s="2">
        <v>45650</v>
      </c>
      <c r="B262" s="3">
        <v>258.2</v>
      </c>
      <c r="C262" s="3">
        <v>140.22</v>
      </c>
      <c r="D262" s="3">
        <v>462.28</v>
      </c>
      <c r="E262" s="3">
        <v>40.79</v>
      </c>
      <c r="F262" s="3">
        <v>32.57</v>
      </c>
      <c r="G262" s="4">
        <v>6040.04</v>
      </c>
      <c r="I262" s="3">
        <f t="shared" si="20"/>
        <v>1.1412669882966294E-2</v>
      </c>
      <c r="J262" s="3">
        <f t="shared" si="20"/>
        <v>3.9301204611417624E-3</v>
      </c>
      <c r="K262" s="3">
        <f t="shared" si="20"/>
        <v>7.0991183176977862E-2</v>
      </c>
      <c r="L262" s="3">
        <f t="shared" si="19"/>
        <v>1.581451293669638E-2</v>
      </c>
      <c r="M262" s="3">
        <f t="shared" si="19"/>
        <v>1.0804241539313874E-2</v>
      </c>
      <c r="N262" s="3">
        <f t="shared" si="19"/>
        <v>1.0982197273831982E-2</v>
      </c>
    </row>
    <row r="263" spans="1:14" x14ac:dyDescent="0.3">
      <c r="A263" s="2">
        <v>45649</v>
      </c>
      <c r="B263" s="3">
        <v>255.27</v>
      </c>
      <c r="C263" s="3">
        <v>139.66999999999999</v>
      </c>
      <c r="D263" s="3">
        <v>430.6</v>
      </c>
      <c r="E263" s="3">
        <v>40.15</v>
      </c>
      <c r="F263" s="3">
        <v>32.22</v>
      </c>
      <c r="G263" s="4">
        <v>5974.07</v>
      </c>
      <c r="I263" s="3">
        <f t="shared" si="20"/>
        <v>3.0602660418225774E-3</v>
      </c>
      <c r="J263" s="3">
        <f t="shared" si="20"/>
        <v>3.6232413901361615E-2</v>
      </c>
      <c r="K263" s="3">
        <f t="shared" si="20"/>
        <v>2.2404243587853444E-2</v>
      </c>
      <c r="L263" s="3">
        <f t="shared" si="19"/>
        <v>-4.2251833703425374E-3</v>
      </c>
      <c r="M263" s="3">
        <f t="shared" si="19"/>
        <v>1.1549995730655802E-2</v>
      </c>
      <c r="N263" s="3">
        <f t="shared" si="19"/>
        <v>7.2608954754625398E-3</v>
      </c>
    </row>
    <row r="264" spans="1:14" x14ac:dyDescent="0.3">
      <c r="A264" s="2">
        <v>45646</v>
      </c>
      <c r="B264" s="3">
        <v>254.49</v>
      </c>
      <c r="C264" s="3">
        <v>134.69999999999999</v>
      </c>
      <c r="D264" s="3">
        <v>421.06</v>
      </c>
      <c r="E264" s="3">
        <v>40.32</v>
      </c>
      <c r="F264" s="3">
        <v>31.85</v>
      </c>
      <c r="G264" s="4">
        <v>5930.85</v>
      </c>
      <c r="I264" s="3">
        <f t="shared" si="20"/>
        <v>1.8640977623199214E-2</v>
      </c>
      <c r="J264" s="3">
        <f t="shared" si="20"/>
        <v>3.0298496683448778E-2</v>
      </c>
      <c r="K264" s="3">
        <f t="shared" si="20"/>
        <v>-3.5256734269034695E-2</v>
      </c>
      <c r="L264" s="3">
        <f t="shared" si="19"/>
        <v>1.2980711472721278E-2</v>
      </c>
      <c r="M264" s="3">
        <f t="shared" si="19"/>
        <v>8.5133731906763838E-3</v>
      </c>
      <c r="N264" s="3">
        <f t="shared" si="19"/>
        <v>1.0810476252410672E-2</v>
      </c>
    </row>
    <row r="265" spans="1:14" x14ac:dyDescent="0.3">
      <c r="A265" s="2">
        <v>45645</v>
      </c>
      <c r="B265" s="3">
        <v>249.79</v>
      </c>
      <c r="C265" s="3">
        <v>130.68</v>
      </c>
      <c r="D265" s="3">
        <v>436.17</v>
      </c>
      <c r="E265" s="3">
        <v>39.799999999999997</v>
      </c>
      <c r="F265" s="3">
        <v>31.58</v>
      </c>
      <c r="G265" s="4">
        <v>5867.08</v>
      </c>
      <c r="I265" s="3">
        <f t="shared" si="20"/>
        <v>6.9902261174959015E-3</v>
      </c>
      <c r="J265" s="3">
        <f t="shared" si="20"/>
        <v>1.3637100277856131E-2</v>
      </c>
      <c r="K265" s="3">
        <f t="shared" si="20"/>
        <v>-9.0380622082183448E-3</v>
      </c>
      <c r="L265" s="3">
        <f t="shared" si="19"/>
        <v>-6.0120421566278344E-3</v>
      </c>
      <c r="M265" s="3">
        <f t="shared" si="19"/>
        <v>-1.5708774170817771E-2</v>
      </c>
      <c r="N265" s="3">
        <f t="shared" si="19"/>
        <v>-8.6547345775283581E-4</v>
      </c>
    </row>
    <row r="266" spans="1:14" x14ac:dyDescent="0.3">
      <c r="A266" s="2">
        <v>45644</v>
      </c>
      <c r="B266" s="3">
        <v>248.05</v>
      </c>
      <c r="C266" s="3">
        <v>128.91</v>
      </c>
      <c r="D266" s="3">
        <v>440.13</v>
      </c>
      <c r="E266" s="3">
        <v>40.04</v>
      </c>
      <c r="F266" s="3">
        <v>32.08</v>
      </c>
      <c r="G266" s="4">
        <v>5872.16</v>
      </c>
      <c r="I266" s="3">
        <f t="shared" si="20"/>
        <v>-2.1654585708258262E-2</v>
      </c>
      <c r="J266" s="3">
        <f t="shared" si="20"/>
        <v>-1.1415472980367396E-2</v>
      </c>
      <c r="K266" s="3">
        <f t="shared" si="20"/>
        <v>-8.6424256872612945E-2</v>
      </c>
      <c r="L266" s="3">
        <f t="shared" si="19"/>
        <v>-3.3643443110455966E-2</v>
      </c>
      <c r="M266" s="3">
        <f t="shared" si="19"/>
        <v>-2.6151313389959182E-2</v>
      </c>
      <c r="N266" s="3">
        <f t="shared" si="19"/>
        <v>-2.9936554508987644E-2</v>
      </c>
    </row>
    <row r="267" spans="1:14" x14ac:dyDescent="0.3">
      <c r="A267" s="2">
        <v>45643</v>
      </c>
      <c r="B267" s="3">
        <v>253.48</v>
      </c>
      <c r="C267" s="3">
        <v>130.38999999999999</v>
      </c>
      <c r="D267" s="3">
        <v>479.86</v>
      </c>
      <c r="E267" s="3">
        <v>41.41</v>
      </c>
      <c r="F267" s="3">
        <v>32.93</v>
      </c>
      <c r="G267" s="4">
        <v>6050.61</v>
      </c>
      <c r="I267" s="3">
        <f t="shared" si="20"/>
        <v>9.6726354705936723E-3</v>
      </c>
      <c r="J267" s="3">
        <f t="shared" si="20"/>
        <v>-1.2271963150990077E-2</v>
      </c>
      <c r="K267" s="3">
        <f t="shared" si="20"/>
        <v>3.5724144994708683E-2</v>
      </c>
      <c r="L267" s="3">
        <f t="shared" si="19"/>
        <v>-9.3739419732347413E-3</v>
      </c>
      <c r="M267" s="3">
        <f t="shared" si="19"/>
        <v>-3.0362836122126364E-4</v>
      </c>
      <c r="N267" s="3">
        <f t="shared" si="19"/>
        <v>-3.8714440227630084E-3</v>
      </c>
    </row>
    <row r="268" spans="1:14" x14ac:dyDescent="0.3">
      <c r="A268" s="2">
        <v>45642</v>
      </c>
      <c r="B268" s="3">
        <v>251.04</v>
      </c>
      <c r="C268" s="3">
        <v>132</v>
      </c>
      <c r="D268" s="3">
        <v>463.02</v>
      </c>
      <c r="E268" s="3">
        <v>41.8</v>
      </c>
      <c r="F268" s="3">
        <v>32.94</v>
      </c>
      <c r="G268" s="4">
        <v>6074.08</v>
      </c>
      <c r="I268" s="3">
        <f t="shared" si="20"/>
        <v>1.1659486612797755E-2</v>
      </c>
      <c r="J268" s="3">
        <f t="shared" si="20"/>
        <v>-1.6901810802603254E-2</v>
      </c>
      <c r="K268" s="3">
        <f t="shared" si="20"/>
        <v>5.9600622504062561E-2</v>
      </c>
      <c r="L268" s="3">
        <f t="shared" si="19"/>
        <v>-8.3383449171539181E-3</v>
      </c>
      <c r="M268" s="3">
        <f t="shared" si="19"/>
        <v>-9.0662452377533072E-3</v>
      </c>
      <c r="N268" s="3">
        <f t="shared" si="19"/>
        <v>3.7921163249597686E-3</v>
      </c>
    </row>
    <row r="269" spans="1:14" x14ac:dyDescent="0.3">
      <c r="A269" s="2">
        <v>45639</v>
      </c>
      <c r="B269" s="3">
        <v>248.13</v>
      </c>
      <c r="C269" s="3">
        <v>134.25</v>
      </c>
      <c r="D269" s="3">
        <v>436.23</v>
      </c>
      <c r="E269" s="3">
        <v>42.15</v>
      </c>
      <c r="F269" s="3">
        <v>33.24</v>
      </c>
      <c r="G269" s="4">
        <v>6051.09</v>
      </c>
      <c r="I269" s="3">
        <f t="shared" si="20"/>
        <v>6.8535953820605803E-4</v>
      </c>
      <c r="J269" s="3">
        <f t="shared" si="20"/>
        <v>-2.2755869803556265E-2</v>
      </c>
      <c r="K269" s="3">
        <f t="shared" si="20"/>
        <v>4.244898883098476E-2</v>
      </c>
      <c r="L269" s="3">
        <f t="shared" si="19"/>
        <v>-4.2613700849678518E-3</v>
      </c>
      <c r="M269" s="3">
        <f t="shared" si="19"/>
        <v>-1.3150219386878468E-2</v>
      </c>
      <c r="N269" s="3">
        <f t="shared" si="19"/>
        <v>-2.6441167577320025E-5</v>
      </c>
    </row>
    <row r="270" spans="1:14" x14ac:dyDescent="0.3">
      <c r="A270" s="2">
        <v>45638</v>
      </c>
      <c r="B270" s="3">
        <v>247.96</v>
      </c>
      <c r="C270" s="3">
        <v>137.34</v>
      </c>
      <c r="D270" s="3">
        <v>418.1</v>
      </c>
      <c r="E270" s="3">
        <v>42.33</v>
      </c>
      <c r="F270" s="3">
        <v>33.68</v>
      </c>
      <c r="G270" s="4">
        <v>6051.25</v>
      </c>
      <c r="I270" s="3">
        <f t="shared" si="20"/>
        <v>5.9460181251939897E-3</v>
      </c>
      <c r="J270" s="3">
        <f t="shared" si="20"/>
        <v>-1.4242062525603194E-2</v>
      </c>
      <c r="K270" s="3">
        <f t="shared" si="20"/>
        <v>-1.5827207602469726E-2</v>
      </c>
      <c r="L270" s="3">
        <f t="shared" si="19"/>
        <v>-3.066401742277802E-3</v>
      </c>
      <c r="M270" s="3">
        <f t="shared" si="19"/>
        <v>2.0805476371117786E-3</v>
      </c>
      <c r="N270" s="3">
        <f t="shared" si="19"/>
        <v>-5.4287410919564485E-3</v>
      </c>
    </row>
    <row r="271" spans="1:14" x14ac:dyDescent="0.3">
      <c r="A271" s="2">
        <v>45637</v>
      </c>
      <c r="B271" s="3">
        <v>246.49</v>
      </c>
      <c r="C271" s="3">
        <v>139.31</v>
      </c>
      <c r="D271" s="3">
        <v>424.77</v>
      </c>
      <c r="E271" s="3">
        <v>42.46</v>
      </c>
      <c r="F271" s="3">
        <v>33.61</v>
      </c>
      <c r="G271" s="4">
        <v>6084.19</v>
      </c>
      <c r="I271" s="3">
        <f t="shared" si="20"/>
        <v>-5.1794717822105452E-3</v>
      </c>
      <c r="J271" s="3">
        <f t="shared" si="20"/>
        <v>3.0908503145460821E-2</v>
      </c>
      <c r="K271" s="3">
        <f t="shared" si="20"/>
        <v>5.7611356625228739E-2</v>
      </c>
      <c r="L271" s="3">
        <f t="shared" si="19"/>
        <v>2.9881510924384104E-2</v>
      </c>
      <c r="M271" s="3">
        <f t="shared" si="19"/>
        <v>-1.652442439018622E-2</v>
      </c>
      <c r="N271" s="3">
        <f t="shared" si="19"/>
        <v>8.1326619328850828E-3</v>
      </c>
    </row>
    <row r="272" spans="1:14" x14ac:dyDescent="0.3">
      <c r="A272" s="2">
        <v>45636</v>
      </c>
      <c r="B272" s="3">
        <v>247.77</v>
      </c>
      <c r="C272" s="3">
        <v>135.07</v>
      </c>
      <c r="D272" s="3">
        <v>400.99</v>
      </c>
      <c r="E272" s="3">
        <v>41.21</v>
      </c>
      <c r="F272" s="3">
        <v>34.17</v>
      </c>
      <c r="G272" s="4">
        <v>6034.91</v>
      </c>
      <c r="I272" s="3">
        <f t="shared" si="20"/>
        <v>4.1252181771443009E-3</v>
      </c>
      <c r="J272" s="3">
        <f t="shared" si="20"/>
        <v>-2.731292901434523E-2</v>
      </c>
      <c r="K272" s="3">
        <f t="shared" si="20"/>
        <v>2.8328356777005705E-2</v>
      </c>
      <c r="L272" s="3">
        <f t="shared" si="19"/>
        <v>-5.3243107385843869E-3</v>
      </c>
      <c r="M272" s="3">
        <f t="shared" si="19"/>
        <v>5.8702839547080223E-3</v>
      </c>
      <c r="N272" s="3">
        <f t="shared" si="19"/>
        <v>-2.9682940713745675E-3</v>
      </c>
    </row>
    <row r="273" spans="1:14" x14ac:dyDescent="0.3">
      <c r="A273" s="2">
        <v>45635</v>
      </c>
      <c r="B273" s="3">
        <v>246.75</v>
      </c>
      <c r="C273" s="3">
        <v>138.81</v>
      </c>
      <c r="D273" s="3">
        <v>389.79</v>
      </c>
      <c r="E273" s="3">
        <v>41.43</v>
      </c>
      <c r="F273" s="3">
        <v>33.97</v>
      </c>
      <c r="G273" s="4">
        <v>6052.85</v>
      </c>
      <c r="I273" s="3">
        <f t="shared" si="20"/>
        <v>1.5972888051357558E-2</v>
      </c>
      <c r="J273" s="3">
        <f t="shared" si="20"/>
        <v>-2.5814766822559045E-2</v>
      </c>
      <c r="K273" s="3">
        <f t="shared" si="20"/>
        <v>1.4633961097356308E-3</v>
      </c>
      <c r="L273" s="3">
        <f t="shared" si="19"/>
        <v>2.9006546806373116E-3</v>
      </c>
      <c r="M273" s="3">
        <f t="shared" si="19"/>
        <v>-1.403121528717512E-2</v>
      </c>
      <c r="N273" s="3">
        <f t="shared" si="19"/>
        <v>-6.1631802121963038E-3</v>
      </c>
    </row>
    <row r="274" spans="1:14" x14ac:dyDescent="0.3">
      <c r="A274" s="2">
        <v>45632</v>
      </c>
      <c r="B274" s="3">
        <v>242.84</v>
      </c>
      <c r="C274" s="3">
        <v>142.44</v>
      </c>
      <c r="D274" s="3">
        <v>389.22</v>
      </c>
      <c r="E274" s="3">
        <v>41.31</v>
      </c>
      <c r="F274" s="3">
        <v>34.450000000000003</v>
      </c>
      <c r="G274" s="4">
        <v>6090.27</v>
      </c>
      <c r="I274" s="3">
        <f t="shared" si="20"/>
        <v>-8.2324858522934052E-4</v>
      </c>
      <c r="J274" s="3">
        <f t="shared" si="20"/>
        <v>-1.8226591525689419E-2</v>
      </c>
      <c r="K274" s="3">
        <f t="shared" si="20"/>
        <v>5.2021060030447104E-2</v>
      </c>
      <c r="L274" s="3">
        <f t="shared" si="19"/>
        <v>-2.8634740962025479E-2</v>
      </c>
      <c r="M274" s="3">
        <f t="shared" si="19"/>
        <v>-4.9225522883954275E-3</v>
      </c>
      <c r="N274" s="3">
        <f t="shared" si="19"/>
        <v>2.4923196558419955E-3</v>
      </c>
    </row>
    <row r="275" spans="1:14" x14ac:dyDescent="0.3">
      <c r="A275" s="2">
        <v>45631</v>
      </c>
      <c r="B275" s="3">
        <v>243.04</v>
      </c>
      <c r="C275" s="3">
        <v>145.06</v>
      </c>
      <c r="D275" s="3">
        <v>369.49</v>
      </c>
      <c r="E275" s="3">
        <v>42.51</v>
      </c>
      <c r="F275" s="3">
        <v>34.619999999999997</v>
      </c>
      <c r="G275" s="4">
        <v>6075.11</v>
      </c>
      <c r="I275" s="3">
        <f t="shared" si="20"/>
        <v>1.2344409027086238E-4</v>
      </c>
      <c r="J275" s="3">
        <f t="shared" si="20"/>
        <v>-5.5134391472441149E-4</v>
      </c>
      <c r="K275" s="3">
        <f t="shared" si="20"/>
        <v>3.1786239866753309E-2</v>
      </c>
      <c r="L275" s="3">
        <f t="shared" si="19"/>
        <v>-1.1755026626902971E-3</v>
      </c>
      <c r="M275" s="3">
        <f t="shared" si="19"/>
        <v>-1.945141419118783E-2</v>
      </c>
      <c r="N275" s="3">
        <f t="shared" si="19"/>
        <v>-1.8714648272306858E-3</v>
      </c>
    </row>
    <row r="276" spans="1:14" x14ac:dyDescent="0.3">
      <c r="A276" s="2">
        <v>45630</v>
      </c>
      <c r="B276" s="3">
        <v>243.01</v>
      </c>
      <c r="C276" s="3">
        <v>145.13999999999999</v>
      </c>
      <c r="D276" s="3">
        <v>357.93</v>
      </c>
      <c r="E276" s="3">
        <v>42.56</v>
      </c>
      <c r="F276" s="3">
        <v>35.299999999999997</v>
      </c>
      <c r="G276" s="4">
        <v>6086.49</v>
      </c>
      <c r="I276" s="3">
        <f t="shared" si="20"/>
        <v>1.4825189059665656E-3</v>
      </c>
      <c r="J276" s="3">
        <f t="shared" si="20"/>
        <v>3.4200950741226366E-2</v>
      </c>
      <c r="K276" s="3">
        <f t="shared" si="20"/>
        <v>1.8355347226072672E-2</v>
      </c>
      <c r="L276" s="3">
        <f t="shared" si="19"/>
        <v>-2.5746522464080622E-2</v>
      </c>
      <c r="M276" s="3">
        <f t="shared" si="19"/>
        <v>-1.9635974516858962E-2</v>
      </c>
      <c r="N276" s="3">
        <f t="shared" si="19"/>
        <v>6.0331237505021089E-3</v>
      </c>
    </row>
    <row r="277" spans="1:14" x14ac:dyDescent="0.3">
      <c r="A277" s="2">
        <v>45629</v>
      </c>
      <c r="B277" s="3">
        <v>242.65</v>
      </c>
      <c r="C277" s="3">
        <v>140.26</v>
      </c>
      <c r="D277" s="3">
        <v>351.42</v>
      </c>
      <c r="E277" s="3">
        <v>43.67</v>
      </c>
      <c r="F277" s="3">
        <v>36</v>
      </c>
      <c r="G277" s="4">
        <v>6049.88</v>
      </c>
      <c r="I277" s="3">
        <f t="shared" si="20"/>
        <v>1.269094670795666E-2</v>
      </c>
      <c r="J277" s="3">
        <f t="shared" si="20"/>
        <v>1.1689329558479629E-2</v>
      </c>
      <c r="K277" s="3">
        <f t="shared" si="20"/>
        <v>-1.6005761518152094E-2</v>
      </c>
      <c r="L277" s="3">
        <f t="shared" si="19"/>
        <v>-4.5787546587480873E-4</v>
      </c>
      <c r="M277" s="3">
        <f t="shared" si="19"/>
        <v>-9.4001245119152439E-3</v>
      </c>
      <c r="N277" s="3">
        <f t="shared" si="19"/>
        <v>4.5135046310470323E-4</v>
      </c>
    </row>
    <row r="278" spans="1:14" x14ac:dyDescent="0.3">
      <c r="A278" s="2">
        <v>45628</v>
      </c>
      <c r="B278" s="3">
        <v>239.59</v>
      </c>
      <c r="C278" s="3">
        <v>138.63</v>
      </c>
      <c r="D278" s="3">
        <v>357.09</v>
      </c>
      <c r="E278" s="3">
        <v>43.69</v>
      </c>
      <c r="F278" s="3">
        <v>36.340000000000003</v>
      </c>
      <c r="G278" s="4">
        <v>6047.15</v>
      </c>
      <c r="I278" s="3">
        <f t="shared" si="20"/>
        <v>9.477551441854002E-3</v>
      </c>
      <c r="J278" s="3">
        <f t="shared" si="20"/>
        <v>2.7448731478405524E-3</v>
      </c>
      <c r="K278" s="3">
        <f t="shared" si="20"/>
        <v>3.3979773207791282E-2</v>
      </c>
      <c r="L278" s="3">
        <f t="shared" si="19"/>
        <v>-5.9333811678416414E-3</v>
      </c>
      <c r="M278" s="3">
        <f t="shared" si="19"/>
        <v>-5.7621232277622024E-3</v>
      </c>
      <c r="N278" s="3">
        <f t="shared" si="19"/>
        <v>2.4454606033056034E-3</v>
      </c>
    </row>
    <row r="279" spans="1:14" x14ac:dyDescent="0.3">
      <c r="A279" s="2">
        <v>45625</v>
      </c>
      <c r="B279" s="3">
        <v>237.33</v>
      </c>
      <c r="C279" s="3">
        <v>138.25</v>
      </c>
      <c r="D279" s="3">
        <v>345.16</v>
      </c>
      <c r="E279" s="3">
        <v>43.95</v>
      </c>
      <c r="F279" s="3">
        <v>36.549999999999997</v>
      </c>
      <c r="G279" s="4">
        <v>6032.38</v>
      </c>
      <c r="I279" s="3">
        <f t="shared" si="20"/>
        <v>1.0163980270458799E-2</v>
      </c>
      <c r="J279" s="3">
        <f t="shared" si="20"/>
        <v>2.1273509598364767E-2</v>
      </c>
      <c r="K279" s="3">
        <f t="shared" si="20"/>
        <v>3.6195972561074923E-2</v>
      </c>
      <c r="L279" s="3">
        <f t="shared" si="19"/>
        <v>7.7661422765108977E-3</v>
      </c>
      <c r="M279" s="3">
        <f t="shared" si="19"/>
        <v>-8.2045676693220785E-4</v>
      </c>
      <c r="N279" s="3">
        <f t="shared" si="19"/>
        <v>5.5921788939180331E-3</v>
      </c>
    </row>
    <row r="280" spans="1:14" x14ac:dyDescent="0.3">
      <c r="A280" s="2">
        <v>45623</v>
      </c>
      <c r="B280" s="3">
        <v>234.93</v>
      </c>
      <c r="C280" s="3">
        <v>135.34</v>
      </c>
      <c r="D280" s="3">
        <v>332.89</v>
      </c>
      <c r="E280" s="3">
        <v>43.61</v>
      </c>
      <c r="F280" s="3">
        <v>36.58</v>
      </c>
      <c r="G280" s="4">
        <v>5998.74</v>
      </c>
      <c r="I280" s="3">
        <f t="shared" si="20"/>
        <v>-5.5320327375206512E-4</v>
      </c>
      <c r="J280" s="3">
        <f t="shared" si="20"/>
        <v>-1.1606682857905002E-2</v>
      </c>
      <c r="K280" s="3">
        <f t="shared" si="20"/>
        <v>-1.5914032359738598E-2</v>
      </c>
      <c r="L280" s="3">
        <f t="shared" si="19"/>
        <v>1.8361262904688623E-3</v>
      </c>
      <c r="M280" s="3">
        <f t="shared" si="19"/>
        <v>-3.0025954044710611E-3</v>
      </c>
      <c r="N280" s="3">
        <f t="shared" si="19"/>
        <v>-3.8085396153748753E-3</v>
      </c>
    </row>
    <row r="281" spans="1:14" x14ac:dyDescent="0.3">
      <c r="A281" s="2">
        <v>45622</v>
      </c>
      <c r="B281" s="3">
        <v>235.06</v>
      </c>
      <c r="C281" s="3">
        <v>136.91999999999999</v>
      </c>
      <c r="D281" s="3">
        <v>338.23</v>
      </c>
      <c r="E281" s="3">
        <v>43.53</v>
      </c>
      <c r="F281" s="3">
        <v>36.69</v>
      </c>
      <c r="G281" s="4">
        <v>6021.63</v>
      </c>
      <c r="I281" s="3">
        <f t="shared" si="20"/>
        <v>9.3604427595636724E-3</v>
      </c>
      <c r="J281" s="3">
        <f t="shared" si="20"/>
        <v>6.594879914491771E-3</v>
      </c>
      <c r="K281" s="3">
        <f t="shared" si="20"/>
        <v>-1.0637984514345806E-3</v>
      </c>
      <c r="L281" s="3">
        <f t="shared" si="19"/>
        <v>-4.593477343055346E-4</v>
      </c>
      <c r="M281" s="3">
        <f t="shared" si="19"/>
        <v>1.9096991208260494E-3</v>
      </c>
      <c r="N281" s="3">
        <f t="shared" si="19"/>
        <v>5.7057361888066833E-3</v>
      </c>
    </row>
    <row r="282" spans="1:14" x14ac:dyDescent="0.3">
      <c r="A282" s="2">
        <v>45621</v>
      </c>
      <c r="B282" s="3">
        <v>232.87</v>
      </c>
      <c r="C282" s="3">
        <v>136.02000000000001</v>
      </c>
      <c r="D282" s="3">
        <v>338.59</v>
      </c>
      <c r="E282" s="3">
        <v>43.55</v>
      </c>
      <c r="F282" s="3">
        <v>36.619999999999997</v>
      </c>
      <c r="G282" s="4">
        <v>5987.37</v>
      </c>
      <c r="I282" s="3">
        <f t="shared" si="20"/>
        <v>1.2966426208818584E-2</v>
      </c>
      <c r="J282" s="3">
        <f t="shared" si="20"/>
        <v>-4.267294917148743E-2</v>
      </c>
      <c r="K282" s="3">
        <f t="shared" si="20"/>
        <v>-4.0430884643526475E-2</v>
      </c>
      <c r="L282" s="3">
        <f t="shared" si="19"/>
        <v>-1.594566815542673E-2</v>
      </c>
      <c r="M282" s="3">
        <f t="shared" si="19"/>
        <v>2.320546116579135E-2</v>
      </c>
      <c r="N282" s="3">
        <f t="shared" si="19"/>
        <v>3.015882072251307E-3</v>
      </c>
    </row>
    <row r="283" spans="1:14" x14ac:dyDescent="0.3">
      <c r="A283" s="2">
        <v>45618</v>
      </c>
      <c r="B283" s="3">
        <v>229.87</v>
      </c>
      <c r="C283" s="3">
        <v>141.94999999999999</v>
      </c>
      <c r="D283" s="3">
        <v>352.56</v>
      </c>
      <c r="E283" s="3">
        <v>44.25</v>
      </c>
      <c r="F283" s="3">
        <v>35.78</v>
      </c>
      <c r="G283" s="4">
        <v>5969.34</v>
      </c>
      <c r="I283" s="3">
        <f t="shared" si="20"/>
        <v>5.890197880063815E-3</v>
      </c>
      <c r="J283" s="3">
        <f t="shared" si="20"/>
        <v>-3.2710282339683691E-2</v>
      </c>
      <c r="K283" s="3">
        <f t="shared" si="20"/>
        <v>3.7334587402568988E-2</v>
      </c>
      <c r="L283" s="3">
        <f t="shared" si="19"/>
        <v>-1.4136889760502466E-2</v>
      </c>
      <c r="M283" s="3">
        <f t="shared" si="19"/>
        <v>1.237361118902266E-2</v>
      </c>
      <c r="N283" s="3">
        <f t="shared" si="19"/>
        <v>3.4619792004100735E-3</v>
      </c>
    </row>
    <row r="284" spans="1:14" x14ac:dyDescent="0.3">
      <c r="A284" s="2">
        <v>45617</v>
      </c>
      <c r="B284" s="3">
        <v>228.52</v>
      </c>
      <c r="C284" s="3">
        <v>146.66999999999999</v>
      </c>
      <c r="D284" s="3">
        <v>339.64</v>
      </c>
      <c r="E284" s="3">
        <v>44.88</v>
      </c>
      <c r="F284" s="3">
        <v>35.340000000000003</v>
      </c>
      <c r="G284" s="4">
        <v>5948.71</v>
      </c>
      <c r="I284" s="3">
        <f t="shared" si="20"/>
        <v>-2.0982696979778065E-3</v>
      </c>
      <c r="J284" s="3">
        <f t="shared" si="20"/>
        <v>5.3322521748597551E-3</v>
      </c>
      <c r="K284" s="3">
        <f t="shared" si="20"/>
        <v>-7.01221938257535E-3</v>
      </c>
      <c r="L284" s="3">
        <f t="shared" si="19"/>
        <v>1.2781876003042742E-2</v>
      </c>
      <c r="M284" s="3">
        <f t="shared" si="19"/>
        <v>2.2029212958017186E-2</v>
      </c>
      <c r="N284" s="3">
        <f t="shared" si="19"/>
        <v>5.3262353051749837E-3</v>
      </c>
    </row>
    <row r="285" spans="1:14" x14ac:dyDescent="0.3">
      <c r="A285" s="2">
        <v>45616</v>
      </c>
      <c r="B285" s="3">
        <v>229</v>
      </c>
      <c r="C285" s="3">
        <v>145.88999999999999</v>
      </c>
      <c r="D285" s="3">
        <v>342.03</v>
      </c>
      <c r="E285" s="3">
        <v>44.31</v>
      </c>
      <c r="F285" s="3">
        <v>34.57</v>
      </c>
      <c r="G285" s="4">
        <v>5917.11</v>
      </c>
      <c r="I285" s="3">
        <f t="shared" si="20"/>
        <v>3.1490578857323766E-3</v>
      </c>
      <c r="J285" s="3">
        <f t="shared" si="20"/>
        <v>-7.6476985920707645E-3</v>
      </c>
      <c r="K285" s="3">
        <f t="shared" si="20"/>
        <v>-1.154032254398627E-2</v>
      </c>
      <c r="L285" s="3">
        <f t="shared" si="19"/>
        <v>3.3038104601512477E-2</v>
      </c>
      <c r="M285" s="3">
        <f t="shared" si="19"/>
        <v>-8.6742813014544764E-4</v>
      </c>
      <c r="N285" s="3">
        <f t="shared" si="19"/>
        <v>2.1970426117316337E-5</v>
      </c>
    </row>
    <row r="286" spans="1:14" x14ac:dyDescent="0.3">
      <c r="A286" s="2">
        <v>45615</v>
      </c>
      <c r="B286" s="3">
        <v>228.28</v>
      </c>
      <c r="C286" s="3">
        <v>147.01</v>
      </c>
      <c r="D286" s="3">
        <v>346</v>
      </c>
      <c r="E286" s="3">
        <v>42.87</v>
      </c>
      <c r="F286" s="3">
        <v>34.6</v>
      </c>
      <c r="G286" s="4">
        <v>5916.98</v>
      </c>
      <c r="I286" s="3">
        <f t="shared" si="20"/>
        <v>1.1396012629335743E-3</v>
      </c>
      <c r="J286" s="3">
        <f t="shared" si="20"/>
        <v>4.7787334065077465E-2</v>
      </c>
      <c r="K286" s="3">
        <f t="shared" si="20"/>
        <v>2.1205923594749047E-2</v>
      </c>
      <c r="L286" s="3">
        <f t="shared" si="19"/>
        <v>-4.6544184561335133E-3</v>
      </c>
      <c r="M286" s="3">
        <f t="shared" si="19"/>
        <v>-1.0636869011605841E-2</v>
      </c>
      <c r="N286" s="3">
        <f t="shared" si="19"/>
        <v>3.9557737052673715E-3</v>
      </c>
    </row>
    <row r="287" spans="1:14" x14ac:dyDescent="0.3">
      <c r="A287" s="2">
        <v>45614</v>
      </c>
      <c r="B287" s="3">
        <v>228.02</v>
      </c>
      <c r="C287" s="3">
        <v>140.15</v>
      </c>
      <c r="D287" s="3">
        <v>338.74</v>
      </c>
      <c r="E287" s="3">
        <v>43.07</v>
      </c>
      <c r="F287" s="3">
        <v>34.97</v>
      </c>
      <c r="G287" s="4">
        <v>5893.62</v>
      </c>
      <c r="I287" s="3">
        <f t="shared" si="20"/>
        <v>1.3332942201153587E-2</v>
      </c>
      <c r="J287" s="3">
        <f t="shared" si="20"/>
        <v>-1.2972925000442384E-2</v>
      </c>
      <c r="K287" s="3">
        <f t="shared" si="20"/>
        <v>5.466438312872355E-2</v>
      </c>
      <c r="L287" s="3">
        <f t="shared" si="19"/>
        <v>3.0229066153843803E-3</v>
      </c>
      <c r="M287" s="3">
        <f t="shared" si="19"/>
        <v>-4.5649152024513371E-3</v>
      </c>
      <c r="N287" s="3">
        <f t="shared" si="19"/>
        <v>3.9101598241076656E-3</v>
      </c>
    </row>
    <row r="288" spans="1:14" x14ac:dyDescent="0.3">
      <c r="A288" s="2">
        <v>45611</v>
      </c>
      <c r="B288" s="3">
        <v>225</v>
      </c>
      <c r="C288" s="3">
        <v>141.97999999999999</v>
      </c>
      <c r="D288" s="3">
        <v>320.72000000000003</v>
      </c>
      <c r="E288" s="3">
        <v>42.94</v>
      </c>
      <c r="F288" s="3">
        <v>35.130000000000003</v>
      </c>
      <c r="G288" s="4">
        <v>5870.62</v>
      </c>
      <c r="I288" s="3">
        <f t="shared" si="20"/>
        <v>-1.4209673802113448E-2</v>
      </c>
      <c r="J288" s="3">
        <f t="shared" si="20"/>
        <v>-3.3112396875841478E-2</v>
      </c>
      <c r="K288" s="3">
        <f t="shared" si="20"/>
        <v>3.0196945447434963E-2</v>
      </c>
      <c r="L288" s="3">
        <f t="shared" si="19"/>
        <v>-5.5736326360263802E-3</v>
      </c>
      <c r="M288" s="3">
        <f t="shared" si="19"/>
        <v>-1.4132513340009001E-2</v>
      </c>
      <c r="N288" s="3">
        <f t="shared" si="19"/>
        <v>-1.3291463960568205E-2</v>
      </c>
    </row>
    <row r="289" spans="1:14" x14ac:dyDescent="0.3">
      <c r="A289" s="2">
        <v>45610</v>
      </c>
      <c r="B289" s="3">
        <v>228.22</v>
      </c>
      <c r="C289" s="3">
        <v>146.76</v>
      </c>
      <c r="D289" s="3">
        <v>311.18</v>
      </c>
      <c r="E289" s="3">
        <v>43.18</v>
      </c>
      <c r="F289" s="3">
        <v>35.630000000000003</v>
      </c>
      <c r="G289" s="4">
        <v>5949.17</v>
      </c>
      <c r="I289" s="3">
        <f t="shared" si="20"/>
        <v>1.3676482640454679E-2</v>
      </c>
      <c r="J289" s="3">
        <f t="shared" si="20"/>
        <v>3.3443705880842637E-3</v>
      </c>
      <c r="K289" s="3">
        <f t="shared" si="20"/>
        <v>-5.9448139966326516E-2</v>
      </c>
      <c r="L289" s="3">
        <f t="shared" si="19"/>
        <v>2.5507260206419731E-3</v>
      </c>
      <c r="M289" s="3">
        <f t="shared" si="19"/>
        <v>-2.3576185588385843E-2</v>
      </c>
      <c r="N289" s="3">
        <f t="shared" si="19"/>
        <v>-6.0681150291174617E-3</v>
      </c>
    </row>
    <row r="290" spans="1:14" x14ac:dyDescent="0.3">
      <c r="A290" s="2">
        <v>45609</v>
      </c>
      <c r="B290" s="3">
        <v>225.12</v>
      </c>
      <c r="C290" s="3">
        <v>146.27000000000001</v>
      </c>
      <c r="D290" s="3">
        <v>330.24</v>
      </c>
      <c r="E290" s="3">
        <v>43.07</v>
      </c>
      <c r="F290" s="3">
        <v>36.479999999999997</v>
      </c>
      <c r="G290" s="4">
        <v>5985.38</v>
      </c>
      <c r="I290" s="3">
        <f t="shared" si="20"/>
        <v>3.9612825806397481E-3</v>
      </c>
      <c r="J290" s="3">
        <f t="shared" si="20"/>
        <v>-1.3715587087980549E-2</v>
      </c>
      <c r="K290" s="3">
        <f t="shared" si="20"/>
        <v>5.3132667921312491E-3</v>
      </c>
      <c r="L290" s="3">
        <f t="shared" si="19"/>
        <v>-1.3834668431450384E-2</v>
      </c>
      <c r="M290" s="3">
        <f t="shared" si="19"/>
        <v>9.6406200465815571E-3</v>
      </c>
      <c r="N290" s="3">
        <f t="shared" si="19"/>
        <v>2.322595101076364E-4</v>
      </c>
    </row>
    <row r="291" spans="1:14" x14ac:dyDescent="0.3">
      <c r="A291" s="2">
        <v>45608</v>
      </c>
      <c r="B291" s="3">
        <v>224.23</v>
      </c>
      <c r="C291" s="3">
        <v>148.29</v>
      </c>
      <c r="D291" s="3">
        <v>328.49</v>
      </c>
      <c r="E291" s="3">
        <v>43.67</v>
      </c>
      <c r="F291" s="3">
        <v>36.130000000000003</v>
      </c>
      <c r="G291" s="4">
        <v>5983.99</v>
      </c>
      <c r="I291" s="3">
        <f t="shared" si="20"/>
        <v>0</v>
      </c>
      <c r="J291" s="3">
        <f t="shared" si="20"/>
        <v>2.0644575808955484E-2</v>
      </c>
      <c r="K291" s="3">
        <f t="shared" si="20"/>
        <v>-6.3426758422447424E-2</v>
      </c>
      <c r="L291" s="3">
        <f t="shared" si="19"/>
        <v>-1.0025146619378707E-2</v>
      </c>
      <c r="M291" s="3">
        <f t="shared" si="19"/>
        <v>-1.0736510567218915E-2</v>
      </c>
      <c r="N291" s="3">
        <f t="shared" si="19"/>
        <v>-2.8968743715661891E-3</v>
      </c>
    </row>
    <row r="292" spans="1:14" x14ac:dyDescent="0.3">
      <c r="A292" s="2">
        <v>45607</v>
      </c>
      <c r="B292" s="3">
        <v>224.23</v>
      </c>
      <c r="C292" s="3">
        <v>145.26</v>
      </c>
      <c r="D292" s="3">
        <v>350</v>
      </c>
      <c r="E292" s="3">
        <v>44.11</v>
      </c>
      <c r="F292" s="3">
        <v>36.520000000000003</v>
      </c>
      <c r="G292" s="4">
        <v>6001.35</v>
      </c>
      <c r="I292" s="3">
        <f t="shared" si="20"/>
        <v>-1.2101479715156712E-2</v>
      </c>
      <c r="J292" s="3">
        <f t="shared" si="20"/>
        <v>-1.618390336797439E-2</v>
      </c>
      <c r="K292" s="3">
        <f t="shared" si="20"/>
        <v>8.5806907848708161E-2</v>
      </c>
      <c r="L292" s="3">
        <f t="shared" si="19"/>
        <v>2.525386732120341E-2</v>
      </c>
      <c r="M292" s="3">
        <f t="shared" si="19"/>
        <v>1.4341117270657754E-2</v>
      </c>
      <c r="N292" s="3">
        <f t="shared" si="19"/>
        <v>9.6858443383637458E-4</v>
      </c>
    </row>
    <row r="293" spans="1:14" x14ac:dyDescent="0.3">
      <c r="A293" s="2">
        <v>45604</v>
      </c>
      <c r="B293" s="3">
        <v>226.96</v>
      </c>
      <c r="C293" s="3">
        <v>147.63</v>
      </c>
      <c r="D293" s="3">
        <v>321.22000000000003</v>
      </c>
      <c r="E293" s="3">
        <v>43.01</v>
      </c>
      <c r="F293" s="3">
        <v>36</v>
      </c>
      <c r="G293" s="4">
        <v>5995.54</v>
      </c>
      <c r="I293" s="3">
        <f t="shared" si="20"/>
        <v>-2.2885319380029265E-3</v>
      </c>
      <c r="J293" s="3">
        <f t="shared" si="20"/>
        <v>-8.4314687879987818E-3</v>
      </c>
      <c r="K293" s="3">
        <f t="shared" si="20"/>
        <v>7.8697184058041839E-2</v>
      </c>
      <c r="L293" s="3">
        <f t="shared" si="19"/>
        <v>-2.0903503140572302E-3</v>
      </c>
      <c r="M293" s="3">
        <f t="shared" si="19"/>
        <v>1.2297527810406026E-2</v>
      </c>
      <c r="N293" s="3">
        <f t="shared" si="19"/>
        <v>3.7498038697994338E-3</v>
      </c>
    </row>
    <row r="294" spans="1:14" x14ac:dyDescent="0.3">
      <c r="A294" s="2">
        <v>45603</v>
      </c>
      <c r="B294" s="3">
        <v>227.48</v>
      </c>
      <c r="C294" s="3">
        <v>148.88</v>
      </c>
      <c r="D294" s="3">
        <v>296.91000000000003</v>
      </c>
      <c r="E294" s="3">
        <v>43.1</v>
      </c>
      <c r="F294" s="3">
        <v>35.56</v>
      </c>
      <c r="G294" s="4">
        <v>5973.1</v>
      </c>
      <c r="I294" s="3">
        <f t="shared" si="20"/>
        <v>2.1146945292544149E-2</v>
      </c>
      <c r="J294" s="3">
        <f t="shared" si="20"/>
        <v>2.2208797611182083E-2</v>
      </c>
      <c r="K294" s="3">
        <f t="shared" si="20"/>
        <v>2.862999589955675E-2</v>
      </c>
      <c r="L294" s="3">
        <f t="shared" si="19"/>
        <v>8.3877472187006193E-3</v>
      </c>
      <c r="M294" s="3">
        <f t="shared" si="19"/>
        <v>-3.6447988042689283E-2</v>
      </c>
      <c r="N294" s="3">
        <f t="shared" si="19"/>
        <v>7.4037444129894632E-3</v>
      </c>
    </row>
    <row r="295" spans="1:14" x14ac:dyDescent="0.3">
      <c r="A295" s="2">
        <v>45602</v>
      </c>
      <c r="B295" s="3">
        <v>222.72</v>
      </c>
      <c r="C295" s="3">
        <v>145.61000000000001</v>
      </c>
      <c r="D295" s="3">
        <v>288.52999999999997</v>
      </c>
      <c r="E295" s="3">
        <v>42.74</v>
      </c>
      <c r="F295" s="3">
        <v>36.880000000000003</v>
      </c>
      <c r="G295" s="4">
        <v>5929.04</v>
      </c>
      <c r="I295" s="3">
        <f t="shared" si="20"/>
        <v>-3.2722982334056835E-3</v>
      </c>
      <c r="J295" s="3">
        <f t="shared" si="20"/>
        <v>3.993245597761879E-2</v>
      </c>
      <c r="K295" s="3">
        <f t="shared" si="20"/>
        <v>0.13759467418784069</v>
      </c>
      <c r="L295" s="3">
        <f t="shared" si="19"/>
        <v>0.10240124241341869</v>
      </c>
      <c r="M295" s="3">
        <f t="shared" si="19"/>
        <v>8.0720811720677382E-2</v>
      </c>
      <c r="N295" s="3">
        <f t="shared" si="19"/>
        <v>2.4981233838896531E-2</v>
      </c>
    </row>
    <row r="296" spans="1:14" x14ac:dyDescent="0.3">
      <c r="A296" s="2">
        <v>45601</v>
      </c>
      <c r="B296" s="3">
        <v>223.45</v>
      </c>
      <c r="C296" s="3">
        <v>139.91</v>
      </c>
      <c r="D296" s="3">
        <v>251.44</v>
      </c>
      <c r="E296" s="3">
        <v>38.58</v>
      </c>
      <c r="F296" s="3">
        <v>34.020000000000003</v>
      </c>
      <c r="G296" s="4">
        <v>5782.76</v>
      </c>
      <c r="I296" s="3">
        <f t="shared" si="20"/>
        <v>6.4652494766336294E-3</v>
      </c>
      <c r="J296" s="3">
        <f t="shared" si="20"/>
        <v>2.7976893515939023E-2</v>
      </c>
      <c r="K296" s="3">
        <f t="shared" si="20"/>
        <v>3.4801602227078884E-2</v>
      </c>
      <c r="L296" s="3">
        <f t="shared" si="19"/>
        <v>1.0684140720444459E-2</v>
      </c>
      <c r="M296" s="3">
        <f t="shared" si="19"/>
        <v>1.9591009477169793E-2</v>
      </c>
      <c r="N296" s="3">
        <f t="shared" si="19"/>
        <v>1.219106130274809E-2</v>
      </c>
    </row>
    <row r="297" spans="1:14" x14ac:dyDescent="0.3">
      <c r="A297" s="2">
        <v>45600</v>
      </c>
      <c r="B297" s="3">
        <v>222.01</v>
      </c>
      <c r="C297" s="3">
        <v>136.05000000000001</v>
      </c>
      <c r="D297" s="3">
        <v>242.84</v>
      </c>
      <c r="E297" s="3">
        <v>38.17</v>
      </c>
      <c r="F297" s="3">
        <v>33.36</v>
      </c>
      <c r="G297" s="4">
        <v>5712.69</v>
      </c>
      <c r="I297" s="3">
        <f t="shared" si="20"/>
        <v>-4.0456766500141109E-3</v>
      </c>
      <c r="J297" s="3">
        <f t="shared" si="20"/>
        <v>4.7891047510806297E-3</v>
      </c>
      <c r="K297" s="3">
        <f t="shared" si="20"/>
        <v>-2.4969781691406592E-2</v>
      </c>
      <c r="L297" s="3">
        <f t="shared" si="19"/>
        <v>8.4188868736806144E-3</v>
      </c>
      <c r="M297" s="3">
        <f t="shared" si="19"/>
        <v>-8.988764650171609E-4</v>
      </c>
      <c r="N297" s="3">
        <f t="shared" si="19"/>
        <v>-2.8160686495115016E-3</v>
      </c>
    </row>
    <row r="298" spans="1:14" x14ac:dyDescent="0.3">
      <c r="A298" s="2">
        <v>45597</v>
      </c>
      <c r="B298" s="3">
        <v>222.91</v>
      </c>
      <c r="C298" s="3">
        <v>135.4</v>
      </c>
      <c r="D298" s="3">
        <v>248.98</v>
      </c>
      <c r="E298" s="3">
        <v>37.85</v>
      </c>
      <c r="F298" s="3">
        <v>33.39</v>
      </c>
      <c r="G298" s="4">
        <v>5728.8</v>
      </c>
      <c r="I298" s="3">
        <f t="shared" si="20"/>
        <v>-1.3368587316289905E-2</v>
      </c>
      <c r="J298" s="3">
        <f t="shared" si="20"/>
        <v>1.9690373626400793E-2</v>
      </c>
      <c r="K298" s="3">
        <f t="shared" si="20"/>
        <v>-3.4881658365741998E-3</v>
      </c>
      <c r="L298" s="3">
        <f t="shared" si="19"/>
        <v>-6.0582300397066481E-3</v>
      </c>
      <c r="M298" s="3">
        <f t="shared" si="19"/>
        <v>-7.4593811491841834E-3</v>
      </c>
      <c r="N298" s="3">
        <f t="shared" si="19"/>
        <v>4.0842263302362366E-3</v>
      </c>
    </row>
    <row r="299" spans="1:14" x14ac:dyDescent="0.3">
      <c r="A299" s="2">
        <v>45596</v>
      </c>
      <c r="B299" s="3">
        <v>225.91</v>
      </c>
      <c r="C299" s="3">
        <v>132.76</v>
      </c>
      <c r="D299" s="3">
        <v>249.85</v>
      </c>
      <c r="E299" s="3">
        <v>38.08</v>
      </c>
      <c r="F299" s="3">
        <v>33.64</v>
      </c>
      <c r="G299" s="4">
        <v>5705.45</v>
      </c>
      <c r="I299" s="3">
        <f t="shared" si="20"/>
        <v>-1.8377307172189244E-2</v>
      </c>
      <c r="J299" s="3">
        <f t="shared" si="20"/>
        <v>-4.837400275019902E-2</v>
      </c>
      <c r="K299" s="3">
        <f t="shared" si="20"/>
        <v>-3.0353138221380329E-2</v>
      </c>
      <c r="L299" s="3">
        <f t="shared" si="19"/>
        <v>1.5614979175343819E-2</v>
      </c>
      <c r="M299" s="3">
        <f t="shared" si="19"/>
        <v>2.9770787096845691E-3</v>
      </c>
      <c r="N299" s="3">
        <f t="shared" si="19"/>
        <v>-1.8790182599519829E-2</v>
      </c>
    </row>
    <row r="300" spans="1:14" x14ac:dyDescent="0.3">
      <c r="A300" s="2">
        <v>45595</v>
      </c>
      <c r="B300" s="3">
        <v>230.1</v>
      </c>
      <c r="C300" s="3">
        <v>139.34</v>
      </c>
      <c r="D300" s="3">
        <v>257.55</v>
      </c>
      <c r="E300" s="3">
        <v>37.49</v>
      </c>
      <c r="F300" s="3">
        <v>33.54</v>
      </c>
      <c r="G300" s="4">
        <v>5813.67</v>
      </c>
      <c r="I300" s="3">
        <f t="shared" si="20"/>
        <v>-1.5395866558646653E-2</v>
      </c>
      <c r="J300" s="3">
        <f t="shared" si="20"/>
        <v>-1.3614380424577415E-2</v>
      </c>
      <c r="K300" s="3">
        <f t="shared" si="20"/>
        <v>-7.6198949154538077E-3</v>
      </c>
      <c r="L300" s="3">
        <f t="shared" si="19"/>
        <v>1.072683924632129E-2</v>
      </c>
      <c r="M300" s="3">
        <f t="shared" si="19"/>
        <v>8.6839892931996916E-3</v>
      </c>
      <c r="N300" s="3">
        <f t="shared" si="19"/>
        <v>-3.3056916281390038E-3</v>
      </c>
    </row>
    <row r="301" spans="1:14" x14ac:dyDescent="0.3">
      <c r="A301" s="2">
        <v>45594</v>
      </c>
      <c r="B301" s="3">
        <v>233.67</v>
      </c>
      <c r="C301" s="3">
        <v>141.25</v>
      </c>
      <c r="D301" s="3">
        <v>259.52</v>
      </c>
      <c r="E301" s="3">
        <v>37.090000000000003</v>
      </c>
      <c r="F301" s="3">
        <v>33.25</v>
      </c>
      <c r="G301" s="4">
        <v>5832.92</v>
      </c>
      <c r="I301" s="3">
        <f t="shared" si="20"/>
        <v>1.1561437475111353E-3</v>
      </c>
      <c r="J301" s="3">
        <f t="shared" si="20"/>
        <v>5.1815426289240412E-3</v>
      </c>
      <c r="K301" s="3">
        <f t="shared" si="20"/>
        <v>-1.1455405617120409E-2</v>
      </c>
      <c r="L301" s="3">
        <f t="shared" si="19"/>
        <v>-8.3233129189867142E-3</v>
      </c>
      <c r="M301" s="3">
        <f t="shared" si="19"/>
        <v>-3.0070666291838406E-4</v>
      </c>
      <c r="N301" s="3">
        <f t="shared" si="19"/>
        <v>1.6128426925638532E-3</v>
      </c>
    </row>
    <row r="302" spans="1:14" x14ac:dyDescent="0.3">
      <c r="A302" s="2">
        <v>45593</v>
      </c>
      <c r="B302" s="3">
        <v>233.4</v>
      </c>
      <c r="C302" s="3">
        <v>140.52000000000001</v>
      </c>
      <c r="D302" s="3">
        <v>262.51</v>
      </c>
      <c r="E302" s="3">
        <v>37.4</v>
      </c>
      <c r="F302" s="3">
        <v>33.26</v>
      </c>
      <c r="G302" s="4">
        <v>5823.52</v>
      </c>
      <c r="I302" s="3">
        <f t="shared" si="20"/>
        <v>8.5626908148752033E-3</v>
      </c>
      <c r="J302" s="3">
        <f t="shared" si="20"/>
        <v>-7.2325352500122939E-3</v>
      </c>
      <c r="K302" s="3">
        <f t="shared" si="20"/>
        <v>-2.5128273433907493E-2</v>
      </c>
      <c r="L302" s="3">
        <f t="shared" si="19"/>
        <v>-3.203419717537812E-3</v>
      </c>
      <c r="M302" s="3">
        <f t="shared" si="19"/>
        <v>-3.0061626560388678E-4</v>
      </c>
      <c r="N302" s="3">
        <f t="shared" si="19"/>
        <v>2.6479514493707988E-3</v>
      </c>
    </row>
    <row r="303" spans="1:14" x14ac:dyDescent="0.3">
      <c r="A303" s="2">
        <v>45590</v>
      </c>
      <c r="B303" s="3">
        <v>231.41</v>
      </c>
      <c r="C303" s="3">
        <v>141.54</v>
      </c>
      <c r="D303" s="3">
        <v>269.19</v>
      </c>
      <c r="E303" s="3">
        <v>37.520000000000003</v>
      </c>
      <c r="F303" s="3">
        <v>33.270000000000003</v>
      </c>
      <c r="G303" s="4">
        <v>5808.12</v>
      </c>
      <c r="I303" s="3">
        <f t="shared" si="20"/>
        <v>3.6365250690583951E-3</v>
      </c>
      <c r="J303" s="3">
        <f t="shared" si="20"/>
        <v>8.0156485210877634E-3</v>
      </c>
      <c r="K303" s="3">
        <f t="shared" si="20"/>
        <v>3.2891367163900391E-2</v>
      </c>
      <c r="L303" s="3">
        <f t="shared" si="19"/>
        <v>1.9919904961848846E-2</v>
      </c>
      <c r="M303" s="3">
        <f t="shared" si="19"/>
        <v>5.1228076473681097E-3</v>
      </c>
      <c r="N303" s="3">
        <f t="shared" si="19"/>
        <v>-2.9953572187414154E-4</v>
      </c>
    </row>
    <row r="304" spans="1:14" x14ac:dyDescent="0.3">
      <c r="A304" s="2">
        <v>45589</v>
      </c>
      <c r="B304" s="3">
        <v>230.57</v>
      </c>
      <c r="C304" s="3">
        <v>140.41</v>
      </c>
      <c r="D304" s="3">
        <v>260.48</v>
      </c>
      <c r="E304" s="3">
        <v>36.78</v>
      </c>
      <c r="F304" s="3">
        <v>33.1</v>
      </c>
      <c r="G304" s="4">
        <v>5809.86</v>
      </c>
      <c r="I304" s="3">
        <f t="shared" si="20"/>
        <v>-8.2370542016678883E-4</v>
      </c>
      <c r="J304" s="3">
        <f t="shared" si="20"/>
        <v>6.0720978079774222E-3</v>
      </c>
      <c r="K304" s="3">
        <f t="shared" si="20"/>
        <v>0.19818692072414162</v>
      </c>
      <c r="L304" s="3">
        <f t="shared" si="19"/>
        <v>-5.963693468049351E-3</v>
      </c>
      <c r="M304" s="3">
        <f t="shared" si="19"/>
        <v>-1.4695121241184233E-2</v>
      </c>
      <c r="N304" s="3">
        <f t="shared" si="19"/>
        <v>2.1434831869283494E-3</v>
      </c>
    </row>
    <row r="305" spans="1:14" x14ac:dyDescent="0.3">
      <c r="A305" s="2">
        <v>45588</v>
      </c>
      <c r="B305" s="3">
        <v>230.76</v>
      </c>
      <c r="C305" s="3">
        <v>139.56</v>
      </c>
      <c r="D305" s="3">
        <v>213.65</v>
      </c>
      <c r="E305" s="3">
        <v>37</v>
      </c>
      <c r="F305" s="3">
        <v>33.590000000000003</v>
      </c>
      <c r="G305" s="4">
        <v>5797.42</v>
      </c>
      <c r="I305" s="3">
        <f t="shared" si="20"/>
        <v>-2.1860199273135369E-2</v>
      </c>
      <c r="J305" s="3">
        <f t="shared" si="20"/>
        <v>-2.8467399987712163E-2</v>
      </c>
      <c r="K305" s="3">
        <f t="shared" si="20"/>
        <v>-2.0018276550387262E-2</v>
      </c>
      <c r="L305" s="3">
        <f t="shared" si="19"/>
        <v>2.7954684121837516E-2</v>
      </c>
      <c r="M305" s="3">
        <f t="shared" si="19"/>
        <v>-7.7105957340825818E-3</v>
      </c>
      <c r="N305" s="3">
        <f t="shared" si="19"/>
        <v>-9.2337774119530536E-3</v>
      </c>
    </row>
    <row r="306" spans="1:14" x14ac:dyDescent="0.3">
      <c r="A306" s="2">
        <v>45587</v>
      </c>
      <c r="B306" s="3">
        <v>235.86</v>
      </c>
      <c r="C306" s="3">
        <v>143.59</v>
      </c>
      <c r="D306" s="3">
        <v>217.97</v>
      </c>
      <c r="E306" s="3">
        <v>35.979999999999997</v>
      </c>
      <c r="F306" s="3">
        <v>33.85</v>
      </c>
      <c r="G306" s="4">
        <v>5851.2</v>
      </c>
      <c r="I306" s="3">
        <f t="shared" si="20"/>
        <v>-2.625229098012868E-3</v>
      </c>
      <c r="J306" s="3">
        <f t="shared" si="20"/>
        <v>-8.3536377987001502E-4</v>
      </c>
      <c r="K306" s="3">
        <f t="shared" si="20"/>
        <v>-4.029124996483115E-3</v>
      </c>
      <c r="L306" s="3">
        <f t="shared" si="19"/>
        <v>-1.2978229932280283E-2</v>
      </c>
      <c r="M306" s="3">
        <f t="shared" si="19"/>
        <v>5.6288105956241721E-3</v>
      </c>
      <c r="N306" s="3">
        <f t="shared" si="19"/>
        <v>-4.7500338350551163E-4</v>
      </c>
    </row>
    <row r="307" spans="1:14" x14ac:dyDescent="0.3">
      <c r="A307" s="2">
        <v>45586</v>
      </c>
      <c r="B307" s="3">
        <v>236.48</v>
      </c>
      <c r="C307" s="3">
        <v>143.71</v>
      </c>
      <c r="D307" s="3">
        <v>218.85</v>
      </c>
      <c r="E307" s="3">
        <v>36.450000000000003</v>
      </c>
      <c r="F307" s="3">
        <v>33.659999999999997</v>
      </c>
      <c r="G307" s="4">
        <v>5853.98</v>
      </c>
      <c r="I307" s="3">
        <f t="shared" si="20"/>
        <v>6.278123615677908E-3</v>
      </c>
      <c r="J307" s="3">
        <f t="shared" si="20"/>
        <v>4.0543694928950949E-2</v>
      </c>
      <c r="K307" s="3">
        <f t="shared" si="20"/>
        <v>-8.4177496257863849E-3</v>
      </c>
      <c r="L307" s="3">
        <f t="shared" si="19"/>
        <v>1.3726838119723958E-3</v>
      </c>
      <c r="M307" s="3">
        <f t="shared" si="19"/>
        <v>-1.3573533860818453E-2</v>
      </c>
      <c r="N307" s="3">
        <f t="shared" si="19"/>
        <v>-1.8244427413090425E-3</v>
      </c>
    </row>
    <row r="308" spans="1:14" x14ac:dyDescent="0.3">
      <c r="A308" s="2">
        <v>45583</v>
      </c>
      <c r="B308" s="3">
        <v>235</v>
      </c>
      <c r="C308" s="3">
        <v>138</v>
      </c>
      <c r="D308" s="3">
        <v>220.7</v>
      </c>
      <c r="E308" s="3">
        <v>36.4</v>
      </c>
      <c r="F308" s="3">
        <v>34.119999999999997</v>
      </c>
      <c r="G308" s="4">
        <v>5864.67</v>
      </c>
      <c r="I308" s="3">
        <f t="shared" si="20"/>
        <v>1.2201799678228265E-2</v>
      </c>
      <c r="J308" s="3">
        <f t="shared" si="20"/>
        <v>7.7838388130624554E-3</v>
      </c>
      <c r="K308" s="3">
        <f t="shared" si="20"/>
        <v>-8.6052678604448202E-4</v>
      </c>
      <c r="L308" s="3">
        <f t="shared" si="19"/>
        <v>-1.3100624045698206E-2</v>
      </c>
      <c r="M308" s="3">
        <f t="shared" si="19"/>
        <v>3.0652600689957479E-2</v>
      </c>
      <c r="N308" s="3">
        <f t="shared" si="19"/>
        <v>3.9637370431245362E-3</v>
      </c>
    </row>
    <row r="309" spans="1:14" x14ac:dyDescent="0.3">
      <c r="A309" s="2">
        <v>45582</v>
      </c>
      <c r="B309" s="3">
        <v>232.15</v>
      </c>
      <c r="C309" s="3">
        <v>136.93</v>
      </c>
      <c r="D309" s="3">
        <v>220.89</v>
      </c>
      <c r="E309" s="3">
        <v>36.880000000000003</v>
      </c>
      <c r="F309" s="3">
        <v>33.090000000000003</v>
      </c>
      <c r="G309" s="4">
        <v>5841.47</v>
      </c>
      <c r="I309" s="3">
        <f t="shared" si="20"/>
        <v>1.5950685596858294E-3</v>
      </c>
      <c r="J309" s="3">
        <f t="shared" si="20"/>
        <v>8.8759064281130479E-3</v>
      </c>
      <c r="K309" s="3">
        <f t="shared" si="20"/>
        <v>-1.9899604052187403E-3</v>
      </c>
      <c r="L309" s="3">
        <f t="shared" si="19"/>
        <v>3.8033189014134456E-3</v>
      </c>
      <c r="M309" s="3">
        <f t="shared" si="19"/>
        <v>-6.9456146852009501E-2</v>
      </c>
      <c r="N309" s="3">
        <f t="shared" si="19"/>
        <v>-1.7117513483320916E-4</v>
      </c>
    </row>
    <row r="310" spans="1:14" x14ac:dyDescent="0.3">
      <c r="A310" s="2">
        <v>45581</v>
      </c>
      <c r="B310" s="3">
        <v>231.78</v>
      </c>
      <c r="C310" s="3">
        <v>135.72</v>
      </c>
      <c r="D310" s="3">
        <v>221.33</v>
      </c>
      <c r="E310" s="3">
        <v>36.74</v>
      </c>
      <c r="F310" s="3">
        <v>35.47</v>
      </c>
      <c r="G310" s="4">
        <v>5842.47</v>
      </c>
      <c r="I310" s="3">
        <f t="shared" si="20"/>
        <v>-8.8912382656501972E-3</v>
      </c>
      <c r="J310" s="3">
        <f t="shared" si="20"/>
        <v>3.0826921024812545E-2</v>
      </c>
      <c r="K310" s="3">
        <f t="shared" si="20"/>
        <v>7.9837121727083186E-3</v>
      </c>
      <c r="L310" s="3">
        <f t="shared" si="19"/>
        <v>1.1497526053887E-2</v>
      </c>
      <c r="M310" s="3">
        <f t="shared" si="19"/>
        <v>-8.4542769583967022E-4</v>
      </c>
      <c r="N310" s="3">
        <f t="shared" si="19"/>
        <v>4.6681557065759915E-3</v>
      </c>
    </row>
    <row r="311" spans="1:14" x14ac:dyDescent="0.3">
      <c r="A311" s="2">
        <v>45580</v>
      </c>
      <c r="B311" s="3">
        <v>233.85</v>
      </c>
      <c r="C311" s="3">
        <v>131.6</v>
      </c>
      <c r="D311" s="3">
        <v>219.57</v>
      </c>
      <c r="E311" s="3">
        <v>36.32</v>
      </c>
      <c r="F311" s="3">
        <v>35.5</v>
      </c>
      <c r="G311" s="4">
        <v>5815.26</v>
      </c>
      <c r="I311" s="3">
        <f t="shared" si="20"/>
        <v>1.0964314934501682E-2</v>
      </c>
      <c r="J311" s="3">
        <f t="shared" si="20"/>
        <v>-4.799378403684413E-2</v>
      </c>
      <c r="K311" s="3">
        <f t="shared" si="20"/>
        <v>1.8690316110305529E-3</v>
      </c>
      <c r="L311" s="3">
        <f t="shared" si="19"/>
        <v>-3.543305087225343E-2</v>
      </c>
      <c r="M311" s="3">
        <f t="shared" si="19"/>
        <v>5.9330587941913331E-3</v>
      </c>
      <c r="N311" s="3">
        <f t="shared" si="19"/>
        <v>-7.6385090687541464E-3</v>
      </c>
    </row>
    <row r="312" spans="1:14" x14ac:dyDescent="0.3">
      <c r="A312" s="2">
        <v>45579</v>
      </c>
      <c r="B312" s="3">
        <v>231.3</v>
      </c>
      <c r="C312" s="3">
        <v>138.07</v>
      </c>
      <c r="D312" s="3">
        <v>219.16</v>
      </c>
      <c r="E312" s="3">
        <v>37.630000000000003</v>
      </c>
      <c r="F312" s="3">
        <v>35.29</v>
      </c>
      <c r="G312" s="4">
        <v>5859.85</v>
      </c>
      <c r="I312" s="3">
        <f t="shared" si="20"/>
        <v>1.6345574774742577E-2</v>
      </c>
      <c r="J312" s="3">
        <f t="shared" si="20"/>
        <v>2.3968604449854193E-2</v>
      </c>
      <c r="K312" s="3">
        <f t="shared" si="20"/>
        <v>6.2248461713548409E-3</v>
      </c>
      <c r="L312" s="3">
        <f t="shared" si="19"/>
        <v>-1.8584898486191698E-3</v>
      </c>
      <c r="M312" s="3">
        <f t="shared" si="19"/>
        <v>9.3950868998438613E-3</v>
      </c>
      <c r="N312" s="3">
        <f t="shared" si="19"/>
        <v>7.6780609629941675E-3</v>
      </c>
    </row>
    <row r="313" spans="1:14" x14ac:dyDescent="0.3">
      <c r="A313" s="2">
        <v>45576</v>
      </c>
      <c r="B313" s="3">
        <v>227.55</v>
      </c>
      <c r="C313" s="3">
        <v>134.80000000000001</v>
      </c>
      <c r="D313" s="3">
        <v>217.8</v>
      </c>
      <c r="E313" s="3">
        <v>37.700000000000003</v>
      </c>
      <c r="F313" s="3">
        <v>34.96</v>
      </c>
      <c r="G313" s="4">
        <v>5815.03</v>
      </c>
      <c r="I313" s="3">
        <f t="shared" si="20"/>
        <v>-6.5266663272085766E-3</v>
      </c>
      <c r="J313" s="3">
        <f t="shared" si="20"/>
        <v>-7.4181224765981015E-5</v>
      </c>
      <c r="K313" s="3">
        <f t="shared" si="20"/>
        <v>-9.1923534987007532E-2</v>
      </c>
      <c r="L313" s="3">
        <f t="shared" si="19"/>
        <v>2.3901219717202219E-3</v>
      </c>
      <c r="M313" s="3">
        <f t="shared" si="19"/>
        <v>1.2376039385433678E-2</v>
      </c>
      <c r="N313" s="3">
        <f t="shared" si="19"/>
        <v>6.0336118627852325E-3</v>
      </c>
    </row>
    <row r="314" spans="1:14" x14ac:dyDescent="0.3">
      <c r="A314" s="2">
        <v>45575</v>
      </c>
      <c r="B314" s="3">
        <v>229.04</v>
      </c>
      <c r="C314" s="3">
        <v>134.81</v>
      </c>
      <c r="D314" s="3">
        <v>238.77</v>
      </c>
      <c r="E314" s="3">
        <v>37.61</v>
      </c>
      <c r="F314" s="3">
        <v>34.53</v>
      </c>
      <c r="G314" s="4">
        <v>5780.05</v>
      </c>
      <c r="I314" s="3">
        <f t="shared" si="20"/>
        <v>-2.1806454626626935E-3</v>
      </c>
      <c r="J314" s="3">
        <f t="shared" si="20"/>
        <v>1.6152299119223994E-2</v>
      </c>
      <c r="K314" s="3">
        <f t="shared" si="20"/>
        <v>-9.5036353657635842E-3</v>
      </c>
      <c r="L314" s="3">
        <f t="shared" si="19"/>
        <v>5.3191490615825507E-4</v>
      </c>
      <c r="M314" s="3">
        <f t="shared" si="19"/>
        <v>7.8500185059273003E-3</v>
      </c>
      <c r="N314" s="3">
        <f t="shared" si="19"/>
        <v>-2.0722279710146596E-3</v>
      </c>
    </row>
    <row r="315" spans="1:14" x14ac:dyDescent="0.3">
      <c r="A315" s="2">
        <v>45574</v>
      </c>
      <c r="B315" s="3">
        <v>229.54</v>
      </c>
      <c r="C315" s="3">
        <v>132.65</v>
      </c>
      <c r="D315" s="3">
        <v>241.05</v>
      </c>
      <c r="E315" s="3">
        <v>37.590000000000003</v>
      </c>
      <c r="F315" s="3">
        <v>34.26</v>
      </c>
      <c r="G315" s="4">
        <v>5792.04</v>
      </c>
      <c r="I315" s="3">
        <f t="shared" si="20"/>
        <v>1.6560524302640989E-2</v>
      </c>
      <c r="J315" s="3">
        <f t="shared" si="20"/>
        <v>-1.8076377596675597E-3</v>
      </c>
      <c r="K315" s="3">
        <f t="shared" si="20"/>
        <v>-1.4210928063295349E-2</v>
      </c>
      <c r="L315" s="3">
        <f t="shared" si="19"/>
        <v>3.4643605601441373E-3</v>
      </c>
      <c r="M315" s="3">
        <f t="shared" si="19"/>
        <v>1.1448826066293466E-2</v>
      </c>
      <c r="N315" s="3">
        <f t="shared" si="19"/>
        <v>7.0882038963943272E-3</v>
      </c>
    </row>
    <row r="316" spans="1:14" x14ac:dyDescent="0.3">
      <c r="A316" s="2">
        <v>45573</v>
      </c>
      <c r="B316" s="3">
        <v>225.77</v>
      </c>
      <c r="C316" s="3">
        <v>132.88999999999999</v>
      </c>
      <c r="D316" s="3">
        <v>244.5</v>
      </c>
      <c r="E316" s="3">
        <v>37.46</v>
      </c>
      <c r="F316" s="3">
        <v>33.869999999999997</v>
      </c>
      <c r="G316" s="4">
        <v>5751.13</v>
      </c>
      <c r="I316" s="3">
        <f t="shared" si="20"/>
        <v>1.8236772344019592E-2</v>
      </c>
      <c r="J316" s="3">
        <f t="shared" si="20"/>
        <v>3.9681350496835091E-2</v>
      </c>
      <c r="K316" s="3">
        <f t="shared" si="20"/>
        <v>1.5124018522684119E-2</v>
      </c>
      <c r="L316" s="3">
        <f t="shared" si="19"/>
        <v>-1.325927672578461E-2</v>
      </c>
      <c r="M316" s="3">
        <f t="shared" si="19"/>
        <v>6.5166107389435061E-3</v>
      </c>
      <c r="N316" s="3">
        <f t="shared" si="19"/>
        <v>9.6427168941927138E-3</v>
      </c>
    </row>
    <row r="317" spans="1:14" x14ac:dyDescent="0.3">
      <c r="A317" s="2">
        <v>45572</v>
      </c>
      <c r="B317" s="3">
        <v>221.69</v>
      </c>
      <c r="C317" s="3">
        <v>127.72</v>
      </c>
      <c r="D317" s="3">
        <v>240.83</v>
      </c>
      <c r="E317" s="3">
        <v>37.96</v>
      </c>
      <c r="F317" s="3">
        <v>33.65</v>
      </c>
      <c r="G317" s="4">
        <v>5695.94</v>
      </c>
      <c r="I317" s="3">
        <f t="shared" si="20"/>
        <v>-2.2788562247735331E-2</v>
      </c>
      <c r="J317" s="3">
        <f t="shared" si="20"/>
        <v>2.216683543170344E-2</v>
      </c>
      <c r="K317" s="3">
        <f t="shared" si="20"/>
        <v>-3.7689576280923932E-2</v>
      </c>
      <c r="L317" s="3">
        <f t="shared" si="19"/>
        <v>7.9061804091951906E-4</v>
      </c>
      <c r="M317" s="3">
        <f t="shared" si="19"/>
        <v>-2.4656370858012793E-2</v>
      </c>
      <c r="N317" s="3">
        <f t="shared" si="19"/>
        <v>-9.6322841074211688E-3</v>
      </c>
    </row>
    <row r="318" spans="1:14" x14ac:dyDescent="0.3">
      <c r="A318" s="2">
        <v>45569</v>
      </c>
      <c r="B318" s="3">
        <v>226.8</v>
      </c>
      <c r="C318" s="3">
        <v>124.92</v>
      </c>
      <c r="D318" s="3">
        <v>250.08</v>
      </c>
      <c r="E318" s="3">
        <v>37.93</v>
      </c>
      <c r="F318" s="3">
        <v>34.49</v>
      </c>
      <c r="G318" s="4">
        <v>5751.07</v>
      </c>
      <c r="I318" s="3">
        <f t="shared" si="20"/>
        <v>4.9948166697781288E-3</v>
      </c>
      <c r="J318" s="3">
        <f t="shared" si="20"/>
        <v>1.6709433447689864E-2</v>
      </c>
      <c r="K318" s="3">
        <f t="shared" si="20"/>
        <v>3.8395717663150135E-2</v>
      </c>
      <c r="L318" s="3">
        <f t="shared" si="19"/>
        <v>1.0068977490663896E-2</v>
      </c>
      <c r="M318" s="3">
        <f t="shared" si="19"/>
        <v>1.0785704325271284E-2</v>
      </c>
      <c r="N318" s="3">
        <f t="shared" si="19"/>
        <v>8.9302759844378885E-3</v>
      </c>
    </row>
    <row r="319" spans="1:14" x14ac:dyDescent="0.3">
      <c r="A319" s="2">
        <v>45568</v>
      </c>
      <c r="B319" s="3">
        <v>225.67</v>
      </c>
      <c r="C319" s="3">
        <v>122.85</v>
      </c>
      <c r="D319" s="3">
        <v>240.66</v>
      </c>
      <c r="E319" s="3">
        <v>37.549999999999997</v>
      </c>
      <c r="F319" s="3">
        <v>34.119999999999997</v>
      </c>
      <c r="G319" s="4">
        <v>5699.94</v>
      </c>
      <c r="I319" s="3">
        <f t="shared" si="20"/>
        <v>-4.9066293598749146E-3</v>
      </c>
      <c r="J319" s="3">
        <f t="shared" si="20"/>
        <v>3.3101905160985295E-2</v>
      </c>
      <c r="K319" s="3">
        <f t="shared" si="20"/>
        <v>-3.4148065514250078E-2</v>
      </c>
      <c r="L319" s="3">
        <f t="shared" si="19"/>
        <v>8.8271269960389226E-3</v>
      </c>
      <c r="M319" s="3">
        <f t="shared" si="19"/>
        <v>-1.4643435037222121E-3</v>
      </c>
      <c r="N319" s="3">
        <f t="shared" si="19"/>
        <v>-1.6828115331257495E-3</v>
      </c>
    </row>
    <row r="320" spans="1:14" x14ac:dyDescent="0.3">
      <c r="A320" s="2">
        <v>45567</v>
      </c>
      <c r="B320" s="3">
        <v>226.78</v>
      </c>
      <c r="C320" s="3">
        <v>118.85</v>
      </c>
      <c r="D320" s="3">
        <v>249.02</v>
      </c>
      <c r="E320" s="3">
        <v>37.22</v>
      </c>
      <c r="F320" s="3">
        <v>34.17</v>
      </c>
      <c r="G320" s="4">
        <v>5709.54</v>
      </c>
      <c r="I320" s="3">
        <f t="shared" si="20"/>
        <v>2.5166131739495158E-3</v>
      </c>
      <c r="J320" s="3">
        <f t="shared" si="20"/>
        <v>1.5688259008446757E-2</v>
      </c>
      <c r="K320" s="3">
        <f t="shared" si="20"/>
        <v>-3.5503886772723904E-2</v>
      </c>
      <c r="L320" s="3">
        <f t="shared" si="19"/>
        <v>1.2708025555259021E-2</v>
      </c>
      <c r="M320" s="3">
        <f t="shared" si="19"/>
        <v>-1.0190800088026756E-2</v>
      </c>
      <c r="N320" s="3">
        <f t="shared" si="19"/>
        <v>1.3837448536698041E-4</v>
      </c>
    </row>
    <row r="321" spans="1:14" x14ac:dyDescent="0.3">
      <c r="A321" s="2">
        <v>45566</v>
      </c>
      <c r="B321" s="3">
        <v>226.21</v>
      </c>
      <c r="C321" s="3">
        <v>117</v>
      </c>
      <c r="D321" s="3">
        <v>258.02</v>
      </c>
      <c r="E321" s="3">
        <v>36.75</v>
      </c>
      <c r="F321" s="3">
        <v>34.520000000000003</v>
      </c>
      <c r="G321" s="4">
        <v>5708.75</v>
      </c>
      <c r="I321" s="3">
        <f t="shared" si="20"/>
        <v>-2.9574682195956357E-2</v>
      </c>
      <c r="J321" s="3">
        <f t="shared" si="20"/>
        <v>-3.7246378849563687E-2</v>
      </c>
      <c r="K321" s="3">
        <f t="shared" si="20"/>
        <v>-1.3894190610013485E-2</v>
      </c>
      <c r="L321" s="3">
        <f t="shared" si="19"/>
        <v>1.6461277054071931E-2</v>
      </c>
      <c r="M321" s="3">
        <f t="shared" si="19"/>
        <v>-2.8964518667375658E-4</v>
      </c>
      <c r="N321" s="3">
        <f t="shared" si="19"/>
        <v>-9.3678520838370288E-3</v>
      </c>
    </row>
    <row r="322" spans="1:14" x14ac:dyDescent="0.3">
      <c r="A322" s="2">
        <v>45565</v>
      </c>
      <c r="B322" s="3">
        <v>233</v>
      </c>
      <c r="C322" s="3">
        <v>121.44</v>
      </c>
      <c r="D322" s="3">
        <v>261.63</v>
      </c>
      <c r="E322" s="3">
        <v>36.15</v>
      </c>
      <c r="F322" s="3">
        <v>34.53</v>
      </c>
      <c r="G322" s="4">
        <v>5762.48</v>
      </c>
      <c r="I322" s="3">
        <f t="shared" si="20"/>
        <v>2.2614301672448562E-2</v>
      </c>
      <c r="J322" s="3">
        <f t="shared" si="20"/>
        <v>3.2943502192181391E-4</v>
      </c>
      <c r="K322" s="3">
        <f t="shared" si="20"/>
        <v>4.4819933674468109E-3</v>
      </c>
      <c r="L322" s="3">
        <f t="shared" si="19"/>
        <v>-8.2953136237543358E-4</v>
      </c>
      <c r="M322" s="3">
        <f t="shared" si="19"/>
        <v>0</v>
      </c>
      <c r="N322" s="3">
        <f t="shared" si="19"/>
        <v>4.227593432856073E-3</v>
      </c>
    </row>
    <row r="323" spans="1:14" x14ac:dyDescent="0.3">
      <c r="A323" s="2">
        <v>45562</v>
      </c>
      <c r="B323" s="3">
        <v>227.79</v>
      </c>
      <c r="C323" s="3">
        <v>121.4</v>
      </c>
      <c r="D323" s="3">
        <v>260.45999999999998</v>
      </c>
      <c r="E323" s="3">
        <v>36.18</v>
      </c>
      <c r="F323" s="3">
        <v>34.53</v>
      </c>
      <c r="G323" s="4">
        <v>5738.17</v>
      </c>
      <c r="I323" s="3">
        <f t="shared" si="20"/>
        <v>1.1860052783758518E-3</v>
      </c>
      <c r="J323" s="3">
        <f t="shared" si="20"/>
        <v>-2.1513215606850308E-2</v>
      </c>
      <c r="K323" s="3">
        <f t="shared" si="20"/>
        <v>2.4249264673034208E-2</v>
      </c>
      <c r="L323" s="3">
        <f t="shared" si="20"/>
        <v>3.9751533947378938E-2</v>
      </c>
      <c r="M323" s="3">
        <f t="shared" si="20"/>
        <v>1.8413497015496397E-2</v>
      </c>
      <c r="N323" s="3">
        <f t="shared" si="20"/>
        <v>-1.2539688882457197E-3</v>
      </c>
    </row>
    <row r="324" spans="1:14" x14ac:dyDescent="0.3">
      <c r="A324" s="2">
        <v>45561</v>
      </c>
      <c r="B324" s="3">
        <v>227.52</v>
      </c>
      <c r="C324" s="3">
        <v>124.04</v>
      </c>
      <c r="D324" s="3">
        <v>254.22</v>
      </c>
      <c r="E324" s="3">
        <v>34.770000000000003</v>
      </c>
      <c r="F324" s="3">
        <v>33.9</v>
      </c>
      <c r="G324" s="4">
        <v>5745.37</v>
      </c>
      <c r="I324" s="3">
        <f t="shared" ref="I324:L387" si="21">LN(B324/B325)</f>
        <v>5.0673178998415468E-3</v>
      </c>
      <c r="J324" s="3">
        <f t="shared" si="21"/>
        <v>4.2819697823250902E-3</v>
      </c>
      <c r="K324" s="3">
        <f t="shared" si="21"/>
        <v>-1.0953869012472139E-2</v>
      </c>
      <c r="L324" s="3">
        <f t="shared" si="21"/>
        <v>-3.615191771118783E-2</v>
      </c>
      <c r="M324" s="3">
        <f t="shared" ref="M324:N387" si="22">LN(F324/F325)</f>
        <v>1.1272738772522215E-2</v>
      </c>
      <c r="N324" s="3">
        <f t="shared" si="22"/>
        <v>4.0304808028723289E-3</v>
      </c>
    </row>
    <row r="325" spans="1:14" x14ac:dyDescent="0.3">
      <c r="A325" s="2">
        <v>45560</v>
      </c>
      <c r="B325" s="3">
        <v>226.37</v>
      </c>
      <c r="C325" s="3">
        <v>123.51</v>
      </c>
      <c r="D325" s="3">
        <v>257.02</v>
      </c>
      <c r="E325" s="3">
        <v>36.049999999999997</v>
      </c>
      <c r="F325" s="3">
        <v>33.520000000000003</v>
      </c>
      <c r="G325" s="4">
        <v>5722.26</v>
      </c>
      <c r="I325" s="3">
        <f t="shared" si="21"/>
        <v>-4.407817777012997E-3</v>
      </c>
      <c r="J325" s="3">
        <f t="shared" si="21"/>
        <v>2.1606536578557402E-2</v>
      </c>
      <c r="K325" s="3">
        <f t="shared" si="21"/>
        <v>1.0757208310546294E-2</v>
      </c>
      <c r="L325" s="3">
        <f t="shared" si="21"/>
        <v>-8.0121992370671639E-3</v>
      </c>
      <c r="M325" s="3">
        <f t="shared" si="22"/>
        <v>-1.8327441752412243E-2</v>
      </c>
      <c r="N325" s="3">
        <f t="shared" si="22"/>
        <v>-1.8629115860669923E-3</v>
      </c>
    </row>
    <row r="326" spans="1:14" x14ac:dyDescent="0.3">
      <c r="A326" s="2">
        <v>45559</v>
      </c>
      <c r="B326" s="3">
        <v>227.37</v>
      </c>
      <c r="C326" s="3">
        <v>120.87</v>
      </c>
      <c r="D326" s="3">
        <v>254.27</v>
      </c>
      <c r="E326" s="3">
        <v>36.340000000000003</v>
      </c>
      <c r="F326" s="3">
        <v>34.14</v>
      </c>
      <c r="G326" s="4">
        <v>5732.93</v>
      </c>
      <c r="I326" s="3">
        <f t="shared" si="21"/>
        <v>3.9661606724042875E-3</v>
      </c>
      <c r="J326" s="3">
        <f t="shared" si="21"/>
        <v>3.8886525598161081E-2</v>
      </c>
      <c r="K326" s="3">
        <f t="shared" si="21"/>
        <v>1.6935776706202291E-2</v>
      </c>
      <c r="L326" s="3">
        <f t="shared" si="21"/>
        <v>-3.0223954866419999E-3</v>
      </c>
      <c r="M326" s="3">
        <f t="shared" si="22"/>
        <v>3.5211303985787394E-3</v>
      </c>
      <c r="N326" s="3">
        <f t="shared" si="22"/>
        <v>2.5079697029956895E-3</v>
      </c>
    </row>
    <row r="327" spans="1:14" x14ac:dyDescent="0.3">
      <c r="A327" s="2">
        <v>45558</v>
      </c>
      <c r="B327" s="3">
        <v>226.47</v>
      </c>
      <c r="C327" s="3">
        <v>116.26</v>
      </c>
      <c r="D327" s="3">
        <v>250</v>
      </c>
      <c r="E327" s="3">
        <v>36.450000000000003</v>
      </c>
      <c r="F327" s="3">
        <v>34.020000000000003</v>
      </c>
      <c r="G327" s="4">
        <v>5718.57</v>
      </c>
      <c r="I327" s="3">
        <f t="shared" si="21"/>
        <v>-7.6099516083320351E-3</v>
      </c>
      <c r="J327" s="3">
        <f t="shared" si="21"/>
        <v>2.2388711668398825E-3</v>
      </c>
      <c r="K327" s="3">
        <f t="shared" si="21"/>
        <v>4.8140375327935025E-2</v>
      </c>
      <c r="L327" s="3">
        <f t="shared" si="21"/>
        <v>1.1312025714530119E-2</v>
      </c>
      <c r="M327" s="3">
        <f t="shared" si="22"/>
        <v>-2.6397471851024812E-2</v>
      </c>
      <c r="N327" s="3">
        <f t="shared" si="22"/>
        <v>2.8053309143568263E-3</v>
      </c>
    </row>
    <row r="328" spans="1:14" x14ac:dyDescent="0.3">
      <c r="A328" s="2">
        <v>45555</v>
      </c>
      <c r="B328" s="3">
        <v>228.2</v>
      </c>
      <c r="C328" s="3">
        <v>116</v>
      </c>
      <c r="D328" s="3">
        <v>238.25</v>
      </c>
      <c r="E328" s="3">
        <v>36.04</v>
      </c>
      <c r="F328" s="3">
        <v>34.93</v>
      </c>
      <c r="G328" s="4">
        <v>5702.55</v>
      </c>
      <c r="I328" s="3">
        <f t="shared" si="21"/>
        <v>-2.9317193422724623E-3</v>
      </c>
      <c r="J328" s="3">
        <f t="shared" si="21"/>
        <v>-1.5992131132113445E-2</v>
      </c>
      <c r="K328" s="3">
        <f t="shared" si="21"/>
        <v>-2.3519760145687744E-2</v>
      </c>
      <c r="L328" s="3">
        <f t="shared" si="21"/>
        <v>-8.8398365691409516E-3</v>
      </c>
      <c r="M328" s="3">
        <f t="shared" si="22"/>
        <v>3.7286720383120577E-3</v>
      </c>
      <c r="N328" s="3">
        <f t="shared" si="22"/>
        <v>-1.942855451501775E-3</v>
      </c>
    </row>
    <row r="329" spans="1:14" x14ac:dyDescent="0.3">
      <c r="A329" s="2">
        <v>45554</v>
      </c>
      <c r="B329" s="3">
        <v>228.87</v>
      </c>
      <c r="C329" s="3">
        <v>117.87</v>
      </c>
      <c r="D329" s="3">
        <v>243.92</v>
      </c>
      <c r="E329" s="3">
        <v>36.36</v>
      </c>
      <c r="F329" s="3">
        <v>34.799999999999997</v>
      </c>
      <c r="G329" s="4">
        <v>5713.64</v>
      </c>
      <c r="I329" s="3">
        <f t="shared" si="21"/>
        <v>3.6395154910179209E-2</v>
      </c>
      <c r="J329" s="3">
        <f t="shared" si="21"/>
        <v>3.8925516208970862E-2</v>
      </c>
      <c r="K329" s="3">
        <f t="shared" si="21"/>
        <v>7.1009615833003012E-2</v>
      </c>
      <c r="L329" s="3">
        <f t="shared" si="21"/>
        <v>4.7594509612346056E-2</v>
      </c>
      <c r="M329" s="3">
        <f t="shared" si="22"/>
        <v>2.178735418490723E-2</v>
      </c>
      <c r="N329" s="3">
        <f t="shared" si="22"/>
        <v>1.6834291247586949E-2</v>
      </c>
    </row>
    <row r="330" spans="1:14" x14ac:dyDescent="0.3">
      <c r="A330" s="2">
        <v>45553</v>
      </c>
      <c r="B330" s="3">
        <v>220.69</v>
      </c>
      <c r="C330" s="3">
        <v>113.37</v>
      </c>
      <c r="D330" s="3">
        <v>227.2</v>
      </c>
      <c r="E330" s="3">
        <v>34.67</v>
      </c>
      <c r="F330" s="3">
        <v>34.049999999999997</v>
      </c>
      <c r="G330" s="4">
        <v>5618.26</v>
      </c>
      <c r="I330" s="3">
        <f t="shared" si="21"/>
        <v>1.7829858819643829E-2</v>
      </c>
      <c r="J330" s="3">
        <f t="shared" si="21"/>
        <v>-1.9392641276668576E-2</v>
      </c>
      <c r="K330" s="3">
        <f t="shared" si="21"/>
        <v>-2.9446040570182087E-3</v>
      </c>
      <c r="L330" s="3">
        <f t="shared" si="21"/>
        <v>-1.7291070590504797E-3</v>
      </c>
      <c r="M330" s="3">
        <f t="shared" si="22"/>
        <v>-5.871990773538649E-4</v>
      </c>
      <c r="N330" s="3">
        <f t="shared" si="22"/>
        <v>-2.9006031263851696E-3</v>
      </c>
    </row>
    <row r="331" spans="1:14" x14ac:dyDescent="0.3">
      <c r="A331" s="2">
        <v>45552</v>
      </c>
      <c r="B331" s="3">
        <v>216.79</v>
      </c>
      <c r="C331" s="3">
        <v>115.59</v>
      </c>
      <c r="D331" s="3">
        <v>227.87</v>
      </c>
      <c r="E331" s="3">
        <v>34.729999999999997</v>
      </c>
      <c r="F331" s="3">
        <v>34.07</v>
      </c>
      <c r="G331" s="4">
        <v>5634.58</v>
      </c>
      <c r="I331" s="3">
        <f t="shared" si="21"/>
        <v>2.1703501858254429E-3</v>
      </c>
      <c r="J331" s="3">
        <f t="shared" si="21"/>
        <v>-1.0242375549215622E-2</v>
      </c>
      <c r="K331" s="3">
        <f t="shared" si="21"/>
        <v>4.7949063603207175E-3</v>
      </c>
      <c r="L331" s="3">
        <f t="shared" si="21"/>
        <v>2.1831750512196664E-2</v>
      </c>
      <c r="M331" s="3">
        <f t="shared" si="22"/>
        <v>7.6606149530804094E-3</v>
      </c>
      <c r="N331" s="3">
        <f t="shared" si="22"/>
        <v>2.6447349073670164E-4</v>
      </c>
    </row>
    <row r="332" spans="1:14" x14ac:dyDescent="0.3">
      <c r="A332" s="2">
        <v>45551</v>
      </c>
      <c r="B332" s="3">
        <v>216.32</v>
      </c>
      <c r="C332" s="3">
        <v>116.78</v>
      </c>
      <c r="D332" s="3">
        <v>226.78</v>
      </c>
      <c r="E332" s="3">
        <v>33.979999999999997</v>
      </c>
      <c r="F332" s="3">
        <v>33.81</v>
      </c>
      <c r="G332" s="4">
        <v>5633.09</v>
      </c>
      <c r="I332" s="3">
        <f t="shared" si="21"/>
        <v>-2.8168308751695719E-2</v>
      </c>
      <c r="J332" s="3">
        <f t="shared" si="21"/>
        <v>-1.9671653505862762E-2</v>
      </c>
      <c r="K332" s="3">
        <f t="shared" si="21"/>
        <v>-1.5358999716231014E-2</v>
      </c>
      <c r="L332" s="3">
        <f t="shared" si="21"/>
        <v>1.7216216261131137E-2</v>
      </c>
      <c r="M332" s="3">
        <f t="shared" si="22"/>
        <v>8.6143411059122228E-3</v>
      </c>
      <c r="N332" s="3">
        <f t="shared" si="22"/>
        <v>1.2558720767880025E-3</v>
      </c>
    </row>
    <row r="333" spans="1:14" x14ac:dyDescent="0.3">
      <c r="A333" s="2">
        <v>45548</v>
      </c>
      <c r="B333" s="3">
        <v>222.5</v>
      </c>
      <c r="C333" s="3">
        <v>119.1</v>
      </c>
      <c r="D333" s="3">
        <v>230.29</v>
      </c>
      <c r="E333" s="3">
        <v>33.4</v>
      </c>
      <c r="F333" s="3">
        <v>33.520000000000003</v>
      </c>
      <c r="G333" s="4">
        <v>5626.02</v>
      </c>
      <c r="I333" s="3">
        <f t="shared" si="21"/>
        <v>-1.2127474704876769E-3</v>
      </c>
      <c r="J333" s="3">
        <f t="shared" si="21"/>
        <v>-3.3579583928697982E-4</v>
      </c>
      <c r="K333" s="3">
        <f t="shared" si="21"/>
        <v>2.0865036911101361E-3</v>
      </c>
      <c r="L333" s="3">
        <f t="shared" si="21"/>
        <v>3.2988483957211074E-3</v>
      </c>
      <c r="M333" s="3">
        <f t="shared" si="22"/>
        <v>2.0904890396448998E-3</v>
      </c>
      <c r="N333" s="3">
        <f t="shared" si="22"/>
        <v>5.3930968783714164E-3</v>
      </c>
    </row>
    <row r="334" spans="1:14" x14ac:dyDescent="0.3">
      <c r="A334" s="2">
        <v>45547</v>
      </c>
      <c r="B334" s="3">
        <v>222.77</v>
      </c>
      <c r="C334" s="3">
        <v>119.14</v>
      </c>
      <c r="D334" s="3">
        <v>229.81</v>
      </c>
      <c r="E334" s="3">
        <v>33.29</v>
      </c>
      <c r="F334" s="3">
        <v>33.450000000000003</v>
      </c>
      <c r="G334" s="4">
        <v>5595.76</v>
      </c>
      <c r="I334" s="3">
        <f t="shared" si="21"/>
        <v>4.9390477622147076E-4</v>
      </c>
      <c r="J334" s="3">
        <f t="shared" si="21"/>
        <v>1.8894864181813922E-2</v>
      </c>
      <c r="K334" s="3">
        <f t="shared" si="21"/>
        <v>7.3372386640312409E-3</v>
      </c>
      <c r="L334" s="3">
        <f t="shared" si="21"/>
        <v>1.0872955198660621E-2</v>
      </c>
      <c r="M334" s="3">
        <f t="shared" si="22"/>
        <v>4.4943895878394886E-3</v>
      </c>
      <c r="N334" s="3">
        <f t="shared" si="22"/>
        <v>7.46737294203047E-3</v>
      </c>
    </row>
    <row r="335" spans="1:14" x14ac:dyDescent="0.3">
      <c r="A335" s="2">
        <v>45546</v>
      </c>
      <c r="B335" s="3">
        <v>222.66</v>
      </c>
      <c r="C335" s="3">
        <v>116.91</v>
      </c>
      <c r="D335" s="3">
        <v>228.13</v>
      </c>
      <c r="E335" s="3">
        <v>32.93</v>
      </c>
      <c r="F335" s="3">
        <v>33.299999999999997</v>
      </c>
      <c r="G335" s="4">
        <v>5554.13</v>
      </c>
      <c r="I335" s="3">
        <f t="shared" si="21"/>
        <v>1.1518522906548473E-2</v>
      </c>
      <c r="J335" s="3">
        <f t="shared" si="21"/>
        <v>7.8347683373565069E-2</v>
      </c>
      <c r="K335" s="3">
        <f t="shared" si="21"/>
        <v>8.628713013063425E-3</v>
      </c>
      <c r="L335" s="3">
        <f t="shared" si="21"/>
        <v>-7.2617565706882096E-3</v>
      </c>
      <c r="M335" s="3">
        <f t="shared" si="22"/>
        <v>-6.2865047628209488E-3</v>
      </c>
      <c r="N335" s="3">
        <f t="shared" si="22"/>
        <v>1.0608580303038784E-2</v>
      </c>
    </row>
    <row r="336" spans="1:14" x14ac:dyDescent="0.3">
      <c r="A336" s="2">
        <v>45545</v>
      </c>
      <c r="B336" s="3">
        <v>220.11</v>
      </c>
      <c r="C336" s="3">
        <v>108.1</v>
      </c>
      <c r="D336" s="3">
        <v>226.17</v>
      </c>
      <c r="E336" s="3">
        <v>33.17</v>
      </c>
      <c r="F336" s="3">
        <v>33.51</v>
      </c>
      <c r="G336" s="4">
        <v>5495.52</v>
      </c>
      <c r="I336" s="3">
        <f t="shared" si="21"/>
        <v>-3.6279573600808664E-3</v>
      </c>
      <c r="J336" s="3">
        <f t="shared" si="21"/>
        <v>1.5193469318647681E-2</v>
      </c>
      <c r="K336" s="3">
        <f t="shared" si="21"/>
        <v>4.4759301807123231E-2</v>
      </c>
      <c r="L336" s="3">
        <f t="shared" si="21"/>
        <v>-1.5555204459500357E-2</v>
      </c>
      <c r="M336" s="3">
        <f t="shared" si="22"/>
        <v>-7.4327679785373612E-3</v>
      </c>
      <c r="N336" s="3">
        <f t="shared" si="22"/>
        <v>4.4626607244902189E-3</v>
      </c>
    </row>
    <row r="337" spans="1:14" x14ac:dyDescent="0.3">
      <c r="A337" s="2">
        <v>45544</v>
      </c>
      <c r="B337" s="3">
        <v>220.91</v>
      </c>
      <c r="C337" s="3">
        <v>106.47</v>
      </c>
      <c r="D337" s="3">
        <v>216.27</v>
      </c>
      <c r="E337" s="3">
        <v>33.69</v>
      </c>
      <c r="F337" s="3">
        <v>33.76</v>
      </c>
      <c r="G337" s="4">
        <v>5471.05</v>
      </c>
      <c r="I337" s="3">
        <f t="shared" si="21"/>
        <v>4.0748874310253498E-4</v>
      </c>
      <c r="J337" s="3">
        <f t="shared" si="21"/>
        <v>3.4786116085415604E-2</v>
      </c>
      <c r="K337" s="3">
        <f t="shared" si="21"/>
        <v>2.5949933875475499E-2</v>
      </c>
      <c r="L337" s="3">
        <f t="shared" si="21"/>
        <v>-7.3932023876187043E-3</v>
      </c>
      <c r="M337" s="3">
        <f t="shared" si="22"/>
        <v>1.1619376964473654E-2</v>
      </c>
      <c r="N337" s="3">
        <f t="shared" si="22"/>
        <v>1.1513555690021488E-2</v>
      </c>
    </row>
    <row r="338" spans="1:14" x14ac:dyDescent="0.3">
      <c r="A338" s="2">
        <v>45541</v>
      </c>
      <c r="B338" s="3">
        <v>220.82</v>
      </c>
      <c r="C338" s="3">
        <v>102.83</v>
      </c>
      <c r="D338" s="3">
        <v>210.73</v>
      </c>
      <c r="E338" s="3">
        <v>33.94</v>
      </c>
      <c r="F338" s="3">
        <v>33.369999999999997</v>
      </c>
      <c r="G338" s="4">
        <v>5408.42</v>
      </c>
      <c r="I338" s="3">
        <f t="shared" si="21"/>
        <v>-7.0397402641122122E-3</v>
      </c>
      <c r="J338" s="3">
        <f t="shared" si="21"/>
        <v>-4.1712388627049075E-2</v>
      </c>
      <c r="K338" s="3">
        <f t="shared" si="21"/>
        <v>-8.8240473126481173E-2</v>
      </c>
      <c r="L338" s="3">
        <f t="shared" si="21"/>
        <v>-4.9963366244741396E-3</v>
      </c>
      <c r="M338" s="3">
        <f t="shared" si="22"/>
        <v>-1.9291294204433242E-2</v>
      </c>
      <c r="N338" s="3">
        <f t="shared" si="22"/>
        <v>-1.7410901670867562E-2</v>
      </c>
    </row>
    <row r="339" spans="1:14" x14ac:dyDescent="0.3">
      <c r="A339" s="2">
        <v>45540</v>
      </c>
      <c r="B339" s="3">
        <v>222.38</v>
      </c>
      <c r="C339" s="3">
        <v>107.21</v>
      </c>
      <c r="D339" s="3">
        <v>230.17</v>
      </c>
      <c r="E339" s="3">
        <v>34.11</v>
      </c>
      <c r="F339" s="3">
        <v>34.020000000000003</v>
      </c>
      <c r="G339" s="4">
        <v>5503.41</v>
      </c>
      <c r="I339" s="3">
        <f t="shared" si="21"/>
        <v>6.9038922325676197E-3</v>
      </c>
      <c r="J339" s="3">
        <f t="shared" si="21"/>
        <v>9.371261534700203E-3</v>
      </c>
      <c r="K339" s="3">
        <f t="shared" si="21"/>
        <v>4.7876040681744086E-2</v>
      </c>
      <c r="L339" s="3">
        <f t="shared" si="21"/>
        <v>1.4669211960121392E-3</v>
      </c>
      <c r="M339" s="3">
        <f t="shared" si="22"/>
        <v>-2.439145312415901E-2</v>
      </c>
      <c r="N339" s="3">
        <f t="shared" si="22"/>
        <v>-3.0226412501879545E-3</v>
      </c>
    </row>
    <row r="340" spans="1:14" x14ac:dyDescent="0.3">
      <c r="A340" s="2">
        <v>45539</v>
      </c>
      <c r="B340" s="3">
        <v>220.85</v>
      </c>
      <c r="C340" s="3">
        <v>106.21</v>
      </c>
      <c r="D340" s="3">
        <v>219.41</v>
      </c>
      <c r="E340" s="3">
        <v>34.06</v>
      </c>
      <c r="F340" s="3">
        <v>34.86</v>
      </c>
      <c r="G340" s="4">
        <v>5520.07</v>
      </c>
      <c r="I340" s="3">
        <f t="shared" si="21"/>
        <v>-8.6561110342471426E-3</v>
      </c>
      <c r="J340" s="3">
        <f t="shared" si="21"/>
        <v>-1.6712960790771555E-2</v>
      </c>
      <c r="K340" s="3">
        <f t="shared" si="21"/>
        <v>4.0981525953983355E-2</v>
      </c>
      <c r="L340" s="3">
        <f t="shared" si="21"/>
        <v>2.0573115265176698E-3</v>
      </c>
      <c r="M340" s="3">
        <f t="shared" si="22"/>
        <v>8.0645598367304946E-3</v>
      </c>
      <c r="N340" s="3">
        <f t="shared" si="22"/>
        <v>-1.6037653903594354E-3</v>
      </c>
    </row>
    <row r="341" spans="1:14" x14ac:dyDescent="0.3">
      <c r="A341" s="2">
        <v>45538</v>
      </c>
      <c r="B341" s="3">
        <v>222.77</v>
      </c>
      <c r="C341" s="3">
        <v>108</v>
      </c>
      <c r="D341" s="3">
        <v>210.6</v>
      </c>
      <c r="E341" s="3">
        <v>33.99</v>
      </c>
      <c r="F341" s="3">
        <v>34.58</v>
      </c>
      <c r="G341" s="4">
        <v>5528.93</v>
      </c>
      <c r="I341" s="3">
        <f t="shared" si="21"/>
        <v>-2.7582154477457006E-2</v>
      </c>
      <c r="J341" s="3">
        <f t="shared" si="21"/>
        <v>-0.10009668598272735</v>
      </c>
      <c r="K341" s="3">
        <f t="shared" si="21"/>
        <v>-1.6529301951210697E-2</v>
      </c>
      <c r="L341" s="3">
        <f t="shared" si="21"/>
        <v>-3.4127082777866413E-2</v>
      </c>
      <c r="M341" s="3">
        <f t="shared" si="22"/>
        <v>9.0051443686267607E-3</v>
      </c>
      <c r="N341" s="3">
        <f t="shared" si="22"/>
        <v>-2.137801245458143E-2</v>
      </c>
    </row>
    <row r="342" spans="1:14" x14ac:dyDescent="0.3">
      <c r="A342" s="2">
        <v>45534</v>
      </c>
      <c r="B342" s="3">
        <v>229</v>
      </c>
      <c r="C342" s="3">
        <v>119.37</v>
      </c>
      <c r="D342" s="3">
        <v>214.11</v>
      </c>
      <c r="E342" s="3">
        <v>35.17</v>
      </c>
      <c r="F342" s="3">
        <v>34.270000000000003</v>
      </c>
      <c r="G342" s="4">
        <v>5648.4</v>
      </c>
      <c r="I342" s="3">
        <f t="shared" si="21"/>
        <v>-3.4438448126052909E-3</v>
      </c>
      <c r="J342" s="3">
        <f t="shared" si="21"/>
        <v>1.5023915271622633E-2</v>
      </c>
      <c r="K342" s="3">
        <f t="shared" si="21"/>
        <v>3.7255432468327625E-2</v>
      </c>
      <c r="L342" s="3">
        <f t="shared" si="21"/>
        <v>-2.555730483832926E-3</v>
      </c>
      <c r="M342" s="3">
        <f t="shared" si="22"/>
        <v>9.6760760804374037E-3</v>
      </c>
      <c r="N342" s="3">
        <f t="shared" si="22"/>
        <v>1.0042467382856683E-2</v>
      </c>
    </row>
    <row r="343" spans="1:14" x14ac:dyDescent="0.3">
      <c r="A343" s="2">
        <v>45533</v>
      </c>
      <c r="B343" s="3">
        <v>229.79</v>
      </c>
      <c r="C343" s="3">
        <v>117.59</v>
      </c>
      <c r="D343" s="3">
        <v>206.28</v>
      </c>
      <c r="E343" s="3">
        <v>35.26</v>
      </c>
      <c r="F343" s="3">
        <v>33.94</v>
      </c>
      <c r="G343" s="4">
        <v>5591.96</v>
      </c>
      <c r="I343" s="3">
        <f t="shared" si="21"/>
        <v>1.4465054528776243E-2</v>
      </c>
      <c r="J343" s="3">
        <f t="shared" si="21"/>
        <v>-6.597787086383719E-2</v>
      </c>
      <c r="K343" s="3">
        <f t="shared" si="21"/>
        <v>2.5726296255790958E-3</v>
      </c>
      <c r="L343" s="3">
        <f t="shared" si="21"/>
        <v>8.5446261823894035E-3</v>
      </c>
      <c r="M343" s="3">
        <f t="shared" si="22"/>
        <v>6.5031266724255837E-3</v>
      </c>
      <c r="N343" s="3">
        <f t="shared" si="22"/>
        <v>-3.934142455813639E-5</v>
      </c>
    </row>
    <row r="344" spans="1:14" x14ac:dyDescent="0.3">
      <c r="A344" s="2">
        <v>45532</v>
      </c>
      <c r="B344" s="3">
        <v>226.49</v>
      </c>
      <c r="C344" s="3">
        <v>125.61</v>
      </c>
      <c r="D344" s="3">
        <v>205.75</v>
      </c>
      <c r="E344" s="3">
        <v>34.96</v>
      </c>
      <c r="F344" s="3">
        <v>33.72</v>
      </c>
      <c r="G344" s="4">
        <v>5592.18</v>
      </c>
      <c r="I344" s="3">
        <f t="shared" si="21"/>
        <v>-6.7764054079900871E-3</v>
      </c>
      <c r="J344" s="3">
        <f t="shared" si="21"/>
        <v>-2.1189402922429205E-2</v>
      </c>
      <c r="K344" s="3">
        <f t="shared" si="21"/>
        <v>-1.6676692638377802E-2</v>
      </c>
      <c r="L344" s="3">
        <f t="shared" si="21"/>
        <v>-1.2507269352394008E-2</v>
      </c>
      <c r="M344" s="3">
        <f t="shared" si="22"/>
        <v>4.1604814842598854E-3</v>
      </c>
      <c r="N344" s="3">
        <f t="shared" si="22"/>
        <v>-5.9939669454233853E-3</v>
      </c>
    </row>
    <row r="345" spans="1:14" x14ac:dyDescent="0.3">
      <c r="A345" s="2">
        <v>45531</v>
      </c>
      <c r="B345" s="3">
        <v>228.03</v>
      </c>
      <c r="C345" s="3">
        <v>128.30000000000001</v>
      </c>
      <c r="D345" s="3">
        <v>209.21</v>
      </c>
      <c r="E345" s="3">
        <v>35.4</v>
      </c>
      <c r="F345" s="3">
        <v>33.58</v>
      </c>
      <c r="G345" s="4">
        <v>5625.8</v>
      </c>
      <c r="I345" s="3">
        <f t="shared" si="21"/>
        <v>3.7345444427833042E-3</v>
      </c>
      <c r="J345" s="3">
        <f t="shared" si="21"/>
        <v>1.4445218991123788E-2</v>
      </c>
      <c r="K345" s="3">
        <f t="shared" si="21"/>
        <v>-1.8939063311356526E-2</v>
      </c>
      <c r="L345" s="3">
        <f t="shared" si="21"/>
        <v>-8.4709873765188664E-4</v>
      </c>
      <c r="M345" s="3">
        <f t="shared" si="22"/>
        <v>-2.6765815235884277E-3</v>
      </c>
      <c r="N345" s="3">
        <f t="shared" si="22"/>
        <v>1.5939320118754585E-3</v>
      </c>
    </row>
    <row r="346" spans="1:14" x14ac:dyDescent="0.3">
      <c r="A346" s="2">
        <v>45530</v>
      </c>
      <c r="B346" s="3">
        <v>227.18</v>
      </c>
      <c r="C346" s="3">
        <v>126.46</v>
      </c>
      <c r="D346" s="3">
        <v>213.21</v>
      </c>
      <c r="E346" s="3">
        <v>35.43</v>
      </c>
      <c r="F346" s="3">
        <v>33.67</v>
      </c>
      <c r="G346" s="4">
        <v>5616.84</v>
      </c>
      <c r="I346" s="3">
        <f t="shared" si="21"/>
        <v>1.497731657448228E-3</v>
      </c>
      <c r="J346" s="3">
        <f t="shared" si="21"/>
        <v>-2.2750463299343521E-2</v>
      </c>
      <c r="K346" s="3">
        <f t="shared" si="21"/>
        <v>-3.2803439473431117E-2</v>
      </c>
      <c r="L346" s="3">
        <f t="shared" si="21"/>
        <v>5.9448158093206071E-3</v>
      </c>
      <c r="M346" s="3">
        <f t="shared" si="22"/>
        <v>-5.9382424547832296E-4</v>
      </c>
      <c r="N346" s="3">
        <f t="shared" si="22"/>
        <v>-3.1587066155747872E-3</v>
      </c>
    </row>
    <row r="347" spans="1:14" x14ac:dyDescent="0.3">
      <c r="A347" s="2">
        <v>45527</v>
      </c>
      <c r="B347" s="3">
        <v>226.84</v>
      </c>
      <c r="C347" s="3">
        <v>129.37</v>
      </c>
      <c r="D347" s="3">
        <v>220.32</v>
      </c>
      <c r="E347" s="3">
        <v>35.22</v>
      </c>
      <c r="F347" s="3">
        <v>33.69</v>
      </c>
      <c r="G347" s="4">
        <v>5634.61</v>
      </c>
      <c r="I347" s="3">
        <f t="shared" si="21"/>
        <v>1.0235594601717834E-2</v>
      </c>
      <c r="J347" s="3">
        <f t="shared" si="21"/>
        <v>4.449392582696797E-2</v>
      </c>
      <c r="K347" s="3">
        <f t="shared" si="21"/>
        <v>4.4835575571948907E-2</v>
      </c>
      <c r="L347" s="3">
        <f t="shared" si="21"/>
        <v>1.7182553319996963E-2</v>
      </c>
      <c r="M347" s="3">
        <f t="shared" si="22"/>
        <v>1.3747975051958679E-2</v>
      </c>
      <c r="N347" s="3">
        <f t="shared" si="22"/>
        <v>1.1417986208502448E-2</v>
      </c>
    </row>
    <row r="348" spans="1:14" x14ac:dyDescent="0.3">
      <c r="A348" s="2">
        <v>45526</v>
      </c>
      <c r="B348" s="3">
        <v>224.53</v>
      </c>
      <c r="C348" s="3">
        <v>123.74</v>
      </c>
      <c r="D348" s="3">
        <v>210.66</v>
      </c>
      <c r="E348" s="3">
        <v>34.619999999999997</v>
      </c>
      <c r="F348" s="3">
        <v>33.229999999999997</v>
      </c>
      <c r="G348" s="4">
        <v>5570.64</v>
      </c>
      <c r="I348" s="3">
        <f t="shared" si="21"/>
        <v>-8.2940177849183654E-3</v>
      </c>
      <c r="J348" s="3">
        <f t="shared" si="21"/>
        <v>-3.7746314232431778E-2</v>
      </c>
      <c r="K348" s="3">
        <f t="shared" si="21"/>
        <v>-5.8136342001949864E-2</v>
      </c>
      <c r="L348" s="3">
        <f t="shared" si="21"/>
        <v>4.9225522883954128E-3</v>
      </c>
      <c r="M348" s="3">
        <f t="shared" si="22"/>
        <v>-1.67118183596957E-2</v>
      </c>
      <c r="N348" s="3">
        <f t="shared" si="22"/>
        <v>-8.9729494254644684E-3</v>
      </c>
    </row>
    <row r="349" spans="1:14" x14ac:dyDescent="0.3">
      <c r="A349" s="2">
        <v>45525</v>
      </c>
      <c r="B349" s="3">
        <v>226.4</v>
      </c>
      <c r="C349" s="3">
        <v>128.5</v>
      </c>
      <c r="D349" s="3">
        <v>223.27</v>
      </c>
      <c r="E349" s="3">
        <v>34.450000000000003</v>
      </c>
      <c r="F349" s="3">
        <v>33.79</v>
      </c>
      <c r="G349" s="4">
        <v>5620.85</v>
      </c>
      <c r="I349" s="3">
        <f t="shared" si="21"/>
        <v>-4.8574772984859386E-4</v>
      </c>
      <c r="J349" s="3">
        <f t="shared" si="21"/>
        <v>9.7752489046424654E-3</v>
      </c>
      <c r="K349" s="3">
        <f t="shared" si="21"/>
        <v>9.7667135469450394E-3</v>
      </c>
      <c r="L349" s="3">
        <f t="shared" si="21"/>
        <v>6.9909984701543772E-3</v>
      </c>
      <c r="M349" s="3">
        <f t="shared" si="22"/>
        <v>6.2342490768039476E-3</v>
      </c>
      <c r="N349" s="3">
        <f t="shared" si="22"/>
        <v>4.2307182841846242E-3</v>
      </c>
    </row>
    <row r="350" spans="1:14" x14ac:dyDescent="0.3">
      <c r="A350" s="2">
        <v>45524</v>
      </c>
      <c r="B350" s="3">
        <v>226.51</v>
      </c>
      <c r="C350" s="3">
        <v>127.25</v>
      </c>
      <c r="D350" s="3">
        <v>221.1</v>
      </c>
      <c r="E350" s="3">
        <v>34.21</v>
      </c>
      <c r="F350" s="3">
        <v>33.58</v>
      </c>
      <c r="G350" s="4">
        <v>5597.12</v>
      </c>
      <c r="I350" s="3">
        <f t="shared" si="21"/>
        <v>2.7409389396927126E-3</v>
      </c>
      <c r="J350" s="3">
        <f t="shared" si="21"/>
        <v>-2.1380795024950331E-2</v>
      </c>
      <c r="K350" s="3">
        <f t="shared" si="21"/>
        <v>-7.3002892826542036E-3</v>
      </c>
      <c r="L350" s="3">
        <f t="shared" si="21"/>
        <v>-2.7391073827462798E-2</v>
      </c>
      <c r="M350" s="3">
        <f t="shared" si="22"/>
        <v>-1.7851834553526049E-3</v>
      </c>
      <c r="N350" s="3">
        <f t="shared" si="22"/>
        <v>-1.9865481747165059E-3</v>
      </c>
    </row>
    <row r="351" spans="1:14" x14ac:dyDescent="0.3">
      <c r="A351" s="2">
        <v>45523</v>
      </c>
      <c r="B351" s="3">
        <v>225.89</v>
      </c>
      <c r="C351" s="3">
        <v>130</v>
      </c>
      <c r="D351" s="3">
        <v>222.72</v>
      </c>
      <c r="E351" s="3">
        <v>35.159999999999997</v>
      </c>
      <c r="F351" s="3">
        <v>33.64</v>
      </c>
      <c r="G351" s="4">
        <v>5608.25</v>
      </c>
      <c r="I351" s="3">
        <f t="shared" si="21"/>
        <v>-7.0805862143046461E-4</v>
      </c>
      <c r="J351" s="3">
        <f t="shared" si="21"/>
        <v>4.2586370629583002E-2</v>
      </c>
      <c r="K351" s="3">
        <f t="shared" si="21"/>
        <v>3.0081568170189778E-2</v>
      </c>
      <c r="L351" s="3">
        <f t="shared" si="21"/>
        <v>6.2767681110656439E-3</v>
      </c>
      <c r="M351" s="3">
        <f t="shared" si="22"/>
        <v>6.5613119374995201E-3</v>
      </c>
      <c r="N351" s="3">
        <f t="shared" si="22"/>
        <v>9.6753274361777754E-3</v>
      </c>
    </row>
    <row r="352" spans="1:14" x14ac:dyDescent="0.3">
      <c r="A352" s="2">
        <v>45520</v>
      </c>
      <c r="B352" s="3">
        <v>226.05</v>
      </c>
      <c r="C352" s="3">
        <v>124.58</v>
      </c>
      <c r="D352" s="3">
        <v>216.12</v>
      </c>
      <c r="E352" s="3">
        <v>34.94</v>
      </c>
      <c r="F352" s="3">
        <v>33.42</v>
      </c>
      <c r="G352" s="4">
        <v>5554.25</v>
      </c>
      <c r="I352" s="3">
        <f t="shared" si="21"/>
        <v>5.9010309446258903E-3</v>
      </c>
      <c r="J352" s="3">
        <f t="shared" si="21"/>
        <v>1.3902584090218092E-2</v>
      </c>
      <c r="K352" s="3">
        <f t="shared" si="21"/>
        <v>9.2038022457412161E-3</v>
      </c>
      <c r="L352" s="3">
        <f t="shared" si="21"/>
        <v>-3.9988627980718497E-3</v>
      </c>
      <c r="M352" s="3">
        <f t="shared" si="22"/>
        <v>-6.2640025849306277E-3</v>
      </c>
      <c r="N352" s="3">
        <f t="shared" si="22"/>
        <v>1.9878411263283945E-3</v>
      </c>
    </row>
    <row r="353" spans="1:14" x14ac:dyDescent="0.3">
      <c r="A353" s="2">
        <v>45519</v>
      </c>
      <c r="B353" s="3">
        <v>224.72</v>
      </c>
      <c r="C353" s="3">
        <v>122.86</v>
      </c>
      <c r="D353" s="3">
        <v>214.14</v>
      </c>
      <c r="E353" s="3">
        <v>35.08</v>
      </c>
      <c r="F353" s="3">
        <v>33.630000000000003</v>
      </c>
      <c r="G353" s="4">
        <v>5543.22</v>
      </c>
      <c r="I353" s="3">
        <f t="shared" si="21"/>
        <v>1.3439858244384291E-2</v>
      </c>
      <c r="J353" s="3">
        <f t="shared" si="21"/>
        <v>3.9683134883619096E-2</v>
      </c>
      <c r="K353" s="3">
        <f t="shared" si="21"/>
        <v>6.1436336242655147E-2</v>
      </c>
      <c r="L353" s="3">
        <f t="shared" si="21"/>
        <v>9.4515954931811298E-3</v>
      </c>
      <c r="M353" s="3">
        <f t="shared" si="22"/>
        <v>8.0609482616322854E-3</v>
      </c>
      <c r="N353" s="3">
        <f t="shared" si="22"/>
        <v>1.6004444012785939E-2</v>
      </c>
    </row>
    <row r="354" spans="1:14" x14ac:dyDescent="0.3">
      <c r="A354" s="2">
        <v>45518</v>
      </c>
      <c r="B354" s="3">
        <v>221.72</v>
      </c>
      <c r="C354" s="3">
        <v>118.08</v>
      </c>
      <c r="D354" s="3">
        <v>201.38</v>
      </c>
      <c r="E354" s="3">
        <v>34.75</v>
      </c>
      <c r="F354" s="3">
        <v>33.36</v>
      </c>
      <c r="G354" s="4">
        <v>5455.21</v>
      </c>
      <c r="I354" s="3">
        <f t="shared" si="21"/>
        <v>2.0316492687641797E-3</v>
      </c>
      <c r="J354" s="3">
        <f t="shared" si="21"/>
        <v>1.6566000908258448E-2</v>
      </c>
      <c r="K354" s="3">
        <f t="shared" si="21"/>
        <v>-3.1526767343513E-2</v>
      </c>
      <c r="L354" s="3">
        <f t="shared" si="21"/>
        <v>-2.0123623292418748E-3</v>
      </c>
      <c r="M354" s="3">
        <f t="shared" si="22"/>
        <v>4.2054733053971559E-3</v>
      </c>
      <c r="N354" s="3">
        <f t="shared" si="22"/>
        <v>3.816476067632372E-3</v>
      </c>
    </row>
    <row r="355" spans="1:14" x14ac:dyDescent="0.3">
      <c r="A355" s="2">
        <v>45517</v>
      </c>
      <c r="B355" s="3">
        <v>221.27</v>
      </c>
      <c r="C355" s="3">
        <v>116.14</v>
      </c>
      <c r="D355" s="3">
        <v>207.83</v>
      </c>
      <c r="E355" s="3">
        <v>34.82</v>
      </c>
      <c r="F355" s="3">
        <v>33.22</v>
      </c>
      <c r="G355" s="4">
        <v>5434.43</v>
      </c>
      <c r="I355" s="3">
        <f t="shared" si="21"/>
        <v>1.7046903231228767E-2</v>
      </c>
      <c r="J355" s="3">
        <f t="shared" si="21"/>
        <v>6.3265008307769016E-2</v>
      </c>
      <c r="K355" s="3">
        <f t="shared" si="21"/>
        <v>5.1032487683086693E-2</v>
      </c>
      <c r="L355" s="3">
        <f t="shared" si="21"/>
        <v>-9.4326839166308657E-3</v>
      </c>
      <c r="M355" s="3">
        <f t="shared" si="22"/>
        <v>-8.3933346458719329E-3</v>
      </c>
      <c r="N355" s="3">
        <f t="shared" si="22"/>
        <v>1.6707226654933075E-2</v>
      </c>
    </row>
    <row r="356" spans="1:14" x14ac:dyDescent="0.3">
      <c r="A356" s="2">
        <v>45516</v>
      </c>
      <c r="B356" s="3">
        <v>217.53</v>
      </c>
      <c r="C356" s="3">
        <v>109.02</v>
      </c>
      <c r="D356" s="3">
        <v>197.49</v>
      </c>
      <c r="E356" s="3">
        <v>35.15</v>
      </c>
      <c r="F356" s="3">
        <v>33.5</v>
      </c>
      <c r="G356" s="4">
        <v>5344.39</v>
      </c>
      <c r="I356" s="3">
        <f t="shared" si="21"/>
        <v>5.9478700834188188E-3</v>
      </c>
      <c r="J356" s="3">
        <f t="shared" si="21"/>
        <v>3.9954792833887635E-2</v>
      </c>
      <c r="K356" s="3">
        <f t="shared" si="21"/>
        <v>-1.2629416400141601E-2</v>
      </c>
      <c r="L356" s="3">
        <f t="shared" si="21"/>
        <v>2.2785541045871088E-3</v>
      </c>
      <c r="M356" s="3">
        <f t="shared" si="22"/>
        <v>-1.4815085785140587E-2</v>
      </c>
      <c r="N356" s="3">
        <f t="shared" si="22"/>
        <v>4.3036707511422095E-5</v>
      </c>
    </row>
    <row r="357" spans="1:14" x14ac:dyDescent="0.3">
      <c r="A357" s="2">
        <v>45513</v>
      </c>
      <c r="B357" s="3">
        <v>216.24</v>
      </c>
      <c r="C357" s="3">
        <v>104.75</v>
      </c>
      <c r="D357" s="3">
        <v>200</v>
      </c>
      <c r="E357" s="3">
        <v>35.07</v>
      </c>
      <c r="F357" s="3">
        <v>34</v>
      </c>
      <c r="G357" s="4">
        <v>5344.16</v>
      </c>
      <c r="I357" s="3">
        <f t="shared" si="21"/>
        <v>1.3642395264465933E-2</v>
      </c>
      <c r="J357" s="3">
        <f t="shared" si="21"/>
        <v>-2.0980362454592664E-3</v>
      </c>
      <c r="K357" s="3">
        <f t="shared" si="21"/>
        <v>5.816885321564832E-3</v>
      </c>
      <c r="L357" s="3">
        <f t="shared" si="21"/>
        <v>-3.7000184519647545E-3</v>
      </c>
      <c r="M357" s="3">
        <f t="shared" si="22"/>
        <v>-7.3260400920728977E-3</v>
      </c>
      <c r="N357" s="3">
        <f t="shared" si="22"/>
        <v>4.660780212150723E-3</v>
      </c>
    </row>
    <row r="358" spans="1:14" x14ac:dyDescent="0.3">
      <c r="A358" s="2">
        <v>45512</v>
      </c>
      <c r="B358" s="3">
        <v>213.31</v>
      </c>
      <c r="C358" s="3">
        <v>104.97</v>
      </c>
      <c r="D358" s="3">
        <v>198.84</v>
      </c>
      <c r="E358" s="3">
        <v>35.200000000000003</v>
      </c>
      <c r="F358" s="3">
        <v>34.25</v>
      </c>
      <c r="G358" s="4">
        <v>5319.31</v>
      </c>
      <c r="I358" s="3">
        <f t="shared" si="21"/>
        <v>1.6496486400387027E-2</v>
      </c>
      <c r="J358" s="3">
        <f t="shared" si="21"/>
        <v>5.9464249295957082E-2</v>
      </c>
      <c r="K358" s="3">
        <f t="shared" si="21"/>
        <v>3.6255891100342892E-2</v>
      </c>
      <c r="L358" s="3">
        <f t="shared" si="21"/>
        <v>2.7651531330510164E-2</v>
      </c>
      <c r="M358" s="3">
        <f t="shared" si="22"/>
        <v>1.8565436727764732E-2</v>
      </c>
      <c r="N358" s="3">
        <f t="shared" si="22"/>
        <v>2.2781128575607587E-2</v>
      </c>
    </row>
    <row r="359" spans="1:14" x14ac:dyDescent="0.3">
      <c r="A359" s="2">
        <v>45511</v>
      </c>
      <c r="B359" s="3">
        <v>209.82</v>
      </c>
      <c r="C359" s="3">
        <v>98.91</v>
      </c>
      <c r="D359" s="3">
        <v>191.76</v>
      </c>
      <c r="E359" s="3">
        <v>34.24</v>
      </c>
      <c r="F359" s="3">
        <v>33.619999999999997</v>
      </c>
      <c r="G359" s="4">
        <v>5199.5</v>
      </c>
      <c r="I359" s="3">
        <f t="shared" si="21"/>
        <v>1.2420732753943361E-2</v>
      </c>
      <c r="J359" s="3">
        <f t="shared" si="21"/>
        <v>-5.2581514927161482E-2</v>
      </c>
      <c r="K359" s="3">
        <f t="shared" si="21"/>
        <v>-4.526766731842688E-2</v>
      </c>
      <c r="L359" s="3">
        <f t="shared" si="21"/>
        <v>8.7655228402797286E-4</v>
      </c>
      <c r="M359" s="3">
        <f t="shared" si="22"/>
        <v>-7.113248724519774E-3</v>
      </c>
      <c r="N359" s="3">
        <f t="shared" si="22"/>
        <v>-7.7647563892511828E-3</v>
      </c>
    </row>
    <row r="360" spans="1:14" x14ac:dyDescent="0.3">
      <c r="A360" s="2">
        <v>45510</v>
      </c>
      <c r="B360" s="3">
        <v>207.23</v>
      </c>
      <c r="C360" s="3">
        <v>104.25</v>
      </c>
      <c r="D360" s="3">
        <v>200.64</v>
      </c>
      <c r="E360" s="3">
        <v>34.21</v>
      </c>
      <c r="F360" s="3">
        <v>33.86</v>
      </c>
      <c r="G360" s="4">
        <v>5240.03</v>
      </c>
      <c r="I360" s="3">
        <f t="shared" si="21"/>
        <v>-9.7959967031821006E-3</v>
      </c>
      <c r="J360" s="3">
        <f t="shared" si="21"/>
        <v>3.7131769417967295E-2</v>
      </c>
      <c r="K360" s="3">
        <f t="shared" si="21"/>
        <v>8.8106296821549059E-3</v>
      </c>
      <c r="L360" s="3">
        <f t="shared" si="21"/>
        <v>-8.7311381203986176E-3</v>
      </c>
      <c r="M360" s="3">
        <f t="shared" si="22"/>
        <v>2.5726815238509077E-2</v>
      </c>
      <c r="N360" s="3">
        <f t="shared" si="22"/>
        <v>1.0300905557719547E-2</v>
      </c>
    </row>
    <row r="361" spans="1:14" x14ac:dyDescent="0.3">
      <c r="A361" s="2">
        <v>45509</v>
      </c>
      <c r="B361" s="3">
        <v>209.27</v>
      </c>
      <c r="C361" s="3">
        <v>100.45</v>
      </c>
      <c r="D361" s="3">
        <v>198.88</v>
      </c>
      <c r="E361" s="3">
        <v>34.51</v>
      </c>
      <c r="F361" s="3">
        <v>33</v>
      </c>
      <c r="G361" s="4">
        <v>5186.33</v>
      </c>
      <c r="I361" s="3">
        <f t="shared" si="21"/>
        <v>-4.9365695898139543E-2</v>
      </c>
      <c r="J361" s="3">
        <f t="shared" si="21"/>
        <v>-6.5688929348394431E-2</v>
      </c>
      <c r="K361" s="3">
        <f t="shared" si="21"/>
        <v>-4.3248653592486655E-2</v>
      </c>
      <c r="L361" s="3">
        <f t="shared" si="21"/>
        <v>-3.5021372621370062E-2</v>
      </c>
      <c r="M361" s="3">
        <f t="shared" si="22"/>
        <v>-3.2203140494634706E-2</v>
      </c>
      <c r="N361" s="3">
        <f t="shared" si="22"/>
        <v>-3.0427045496882188E-2</v>
      </c>
    </row>
    <row r="362" spans="1:14" x14ac:dyDescent="0.3">
      <c r="A362" s="2">
        <v>45506</v>
      </c>
      <c r="B362" s="3">
        <v>219.86</v>
      </c>
      <c r="C362" s="3">
        <v>107.27</v>
      </c>
      <c r="D362" s="3">
        <v>207.67</v>
      </c>
      <c r="E362" s="3">
        <v>35.74</v>
      </c>
      <c r="F362" s="3">
        <v>34.08</v>
      </c>
      <c r="G362" s="4">
        <v>5346.56</v>
      </c>
      <c r="I362" s="3">
        <f t="shared" si="21"/>
        <v>6.8459032371609137E-3</v>
      </c>
      <c r="J362" s="3">
        <f t="shared" si="21"/>
        <v>-1.7923613600299107E-2</v>
      </c>
      <c r="K362" s="3">
        <f t="shared" si="21"/>
        <v>-4.3301702689148347E-2</v>
      </c>
      <c r="L362" s="3">
        <f t="shared" si="21"/>
        <v>-5.2062444514620485E-2</v>
      </c>
      <c r="M362" s="3">
        <f t="shared" si="22"/>
        <v>-2.0044244058655181E-2</v>
      </c>
      <c r="N362" s="3">
        <f t="shared" si="22"/>
        <v>-1.8552885294602865E-2</v>
      </c>
    </row>
    <row r="363" spans="1:14" x14ac:dyDescent="0.3">
      <c r="A363" s="2">
        <v>45505</v>
      </c>
      <c r="B363" s="3">
        <v>218.36</v>
      </c>
      <c r="C363" s="3">
        <v>109.21</v>
      </c>
      <c r="D363" s="3">
        <v>216.86</v>
      </c>
      <c r="E363" s="3">
        <v>37.65</v>
      </c>
      <c r="F363" s="3">
        <v>34.770000000000003</v>
      </c>
      <c r="G363" s="4">
        <v>5446.68</v>
      </c>
      <c r="I363" s="3">
        <f t="shared" si="21"/>
        <v>-1.689260040488277E-2</v>
      </c>
      <c r="J363" s="3">
        <f t="shared" si="21"/>
        <v>-6.9072226150453053E-2</v>
      </c>
      <c r="K363" s="3">
        <f t="shared" si="21"/>
        <v>-6.7787066250631273E-2</v>
      </c>
      <c r="L363" s="3">
        <f t="shared" si="21"/>
        <v>-2.8023308162473681E-2</v>
      </c>
      <c r="M363" s="3">
        <f t="shared" si="22"/>
        <v>-9.4461844520500604E-3</v>
      </c>
      <c r="N363" s="3">
        <f t="shared" si="22"/>
        <v>-1.3788191433053192E-2</v>
      </c>
    </row>
    <row r="364" spans="1:14" x14ac:dyDescent="0.3">
      <c r="A364" s="2">
        <v>45504</v>
      </c>
      <c r="B364" s="3">
        <v>222.08</v>
      </c>
      <c r="C364" s="3">
        <v>117.02</v>
      </c>
      <c r="D364" s="3">
        <v>232.07</v>
      </c>
      <c r="E364" s="3">
        <v>38.72</v>
      </c>
      <c r="F364" s="3">
        <v>35.1</v>
      </c>
      <c r="G364" s="4">
        <v>5522.3</v>
      </c>
      <c r="I364" s="3">
        <f t="shared" si="21"/>
        <v>1.4879606770613507E-2</v>
      </c>
      <c r="J364" s="3">
        <f t="shared" si="21"/>
        <v>0.12055349091635324</v>
      </c>
      <c r="K364" s="3">
        <f t="shared" si="21"/>
        <v>4.157276822958756E-2</v>
      </c>
      <c r="L364" s="3">
        <f t="shared" si="21"/>
        <v>1.2474174225175598E-2</v>
      </c>
      <c r="M364" s="3">
        <f t="shared" si="22"/>
        <v>2.2818036141142675E-3</v>
      </c>
      <c r="N364" s="3">
        <f t="shared" si="22"/>
        <v>1.567000529191805E-2</v>
      </c>
    </row>
    <row r="365" spans="1:14" x14ac:dyDescent="0.3">
      <c r="A365" s="2">
        <v>45503</v>
      </c>
      <c r="B365" s="3">
        <v>218.8</v>
      </c>
      <c r="C365" s="3">
        <v>103.73</v>
      </c>
      <c r="D365" s="3">
        <v>222.62</v>
      </c>
      <c r="E365" s="3">
        <v>38.24</v>
      </c>
      <c r="F365" s="3">
        <v>35.020000000000003</v>
      </c>
      <c r="G365" s="4">
        <v>5436.44</v>
      </c>
      <c r="I365" s="3">
        <f t="shared" si="21"/>
        <v>2.5626958927289704E-3</v>
      </c>
      <c r="J365" s="3">
        <f t="shared" si="21"/>
        <v>-7.3040070753873143E-2</v>
      </c>
      <c r="K365" s="3">
        <f t="shared" si="21"/>
        <v>-4.1702031215311602E-2</v>
      </c>
      <c r="L365" s="3">
        <f t="shared" si="21"/>
        <v>-5.9966285810031193E-3</v>
      </c>
      <c r="M365" s="3">
        <f t="shared" si="22"/>
        <v>1.786276247835333E-2</v>
      </c>
      <c r="N365" s="3">
        <f t="shared" si="22"/>
        <v>-4.9724964337360253E-3</v>
      </c>
    </row>
    <row r="366" spans="1:14" x14ac:dyDescent="0.3">
      <c r="A366" s="2">
        <v>45502</v>
      </c>
      <c r="B366" s="3">
        <v>218.24</v>
      </c>
      <c r="C366" s="3">
        <v>111.59</v>
      </c>
      <c r="D366" s="3">
        <v>232.1</v>
      </c>
      <c r="E366" s="3">
        <v>38.47</v>
      </c>
      <c r="F366" s="3">
        <v>34.4</v>
      </c>
      <c r="G366" s="4">
        <v>5463.54</v>
      </c>
      <c r="I366" s="3">
        <f t="shared" si="21"/>
        <v>1.2838149401997857E-3</v>
      </c>
      <c r="J366" s="3">
        <f t="shared" si="21"/>
        <v>-1.3087211049534848E-2</v>
      </c>
      <c r="K366" s="3">
        <f t="shared" si="21"/>
        <v>5.4450271310870373E-2</v>
      </c>
      <c r="L366" s="3">
        <f t="shared" si="21"/>
        <v>2.1545762518301238E-2</v>
      </c>
      <c r="M366" s="3">
        <f t="shared" si="22"/>
        <v>2.3282897595911681E-3</v>
      </c>
      <c r="N366" s="3">
        <f t="shared" si="22"/>
        <v>8.129903108684501E-4</v>
      </c>
    </row>
    <row r="367" spans="1:14" x14ac:dyDescent="0.3">
      <c r="A367" s="2">
        <v>45499</v>
      </c>
      <c r="B367" s="3">
        <v>217.96</v>
      </c>
      <c r="C367" s="3">
        <v>113.06</v>
      </c>
      <c r="D367" s="3">
        <v>219.8</v>
      </c>
      <c r="E367" s="3">
        <v>37.65</v>
      </c>
      <c r="F367" s="3">
        <v>34.32</v>
      </c>
      <c r="G367" s="4">
        <v>5459.1</v>
      </c>
      <c r="I367" s="3">
        <f t="shared" si="21"/>
        <v>2.1586872546282805E-3</v>
      </c>
      <c r="J367" s="3">
        <f t="shared" si="21"/>
        <v>6.9228997534629107E-3</v>
      </c>
      <c r="K367" s="3">
        <f t="shared" si="21"/>
        <v>-2.0452228467678847E-3</v>
      </c>
      <c r="L367" s="3">
        <f t="shared" si="21"/>
        <v>5.6549272008213476E-2</v>
      </c>
      <c r="M367" s="3">
        <f t="shared" si="22"/>
        <v>2.1202207650602906E-2</v>
      </c>
      <c r="N367" s="3">
        <f t="shared" si="22"/>
        <v>1.1029442312488889E-2</v>
      </c>
    </row>
    <row r="368" spans="1:14" x14ac:dyDescent="0.3">
      <c r="A368" s="2">
        <v>45498</v>
      </c>
      <c r="B368" s="3">
        <v>217.49</v>
      </c>
      <c r="C368" s="3">
        <v>112.28</v>
      </c>
      <c r="D368" s="3">
        <v>220.25</v>
      </c>
      <c r="E368" s="3">
        <v>35.58</v>
      </c>
      <c r="F368" s="3">
        <v>33.6</v>
      </c>
      <c r="G368" s="4">
        <v>5399.22</v>
      </c>
      <c r="I368" s="3">
        <f t="shared" si="21"/>
        <v>-4.8161916823298888E-3</v>
      </c>
      <c r="J368" s="3">
        <f t="shared" si="21"/>
        <v>-1.7393278280632297E-2</v>
      </c>
      <c r="K368" s="3">
        <f t="shared" si="21"/>
        <v>1.9531154500126734E-2</v>
      </c>
      <c r="L368" s="3">
        <f t="shared" si="21"/>
        <v>1.9296853029307698E-2</v>
      </c>
      <c r="M368" s="3">
        <f t="shared" si="22"/>
        <v>1.197619104671562E-2</v>
      </c>
      <c r="N368" s="3">
        <f t="shared" si="22"/>
        <v>-5.1559504042484414E-3</v>
      </c>
    </row>
    <row r="369" spans="1:14" x14ac:dyDescent="0.3">
      <c r="A369" s="2">
        <v>45497</v>
      </c>
      <c r="B369" s="3">
        <v>218.54</v>
      </c>
      <c r="C369" s="3">
        <v>114.25</v>
      </c>
      <c r="D369" s="3">
        <v>215.99</v>
      </c>
      <c r="E369" s="3">
        <v>34.9</v>
      </c>
      <c r="F369" s="3">
        <v>33.200000000000003</v>
      </c>
      <c r="G369" s="4">
        <v>5427.13</v>
      </c>
      <c r="I369" s="3">
        <f t="shared" si="21"/>
        <v>-2.917578151864024E-2</v>
      </c>
      <c r="J369" s="3">
        <f t="shared" si="21"/>
        <v>-7.0456424332588821E-2</v>
      </c>
      <c r="K369" s="3">
        <f t="shared" si="21"/>
        <v>-0.13164294921766592</v>
      </c>
      <c r="L369" s="3">
        <f t="shared" si="21"/>
        <v>-2.1262317651923435E-2</v>
      </c>
      <c r="M369" s="3">
        <f t="shared" si="22"/>
        <v>-1.3165959182304338E-2</v>
      </c>
      <c r="N369" s="3">
        <f t="shared" si="22"/>
        <v>-2.3421178443889513E-2</v>
      </c>
    </row>
    <row r="370" spans="1:14" x14ac:dyDescent="0.3">
      <c r="A370" s="2">
        <v>45496</v>
      </c>
      <c r="B370" s="3">
        <v>225.01</v>
      </c>
      <c r="C370" s="3">
        <v>122.59</v>
      </c>
      <c r="D370" s="3">
        <v>246.38</v>
      </c>
      <c r="E370" s="3">
        <v>35.65</v>
      </c>
      <c r="F370" s="3">
        <v>33.64</v>
      </c>
      <c r="G370" s="4">
        <v>5555.74</v>
      </c>
      <c r="I370" s="3">
        <f t="shared" si="21"/>
        <v>4.6773811805469389E-3</v>
      </c>
      <c r="J370" s="3">
        <f t="shared" si="21"/>
        <v>-7.7195361608502922E-3</v>
      </c>
      <c r="K370" s="3">
        <f t="shared" si="21"/>
        <v>-2.0607690646912584E-2</v>
      </c>
      <c r="L370" s="3">
        <f t="shared" si="21"/>
        <v>-2.8046557468930659E-4</v>
      </c>
      <c r="M370" s="3">
        <f t="shared" si="22"/>
        <v>-2.5533302005164647E-2</v>
      </c>
      <c r="N370" s="3">
        <f t="shared" si="22"/>
        <v>-1.5593317997995005E-3</v>
      </c>
    </row>
    <row r="371" spans="1:14" x14ac:dyDescent="0.3">
      <c r="A371" s="2">
        <v>45495</v>
      </c>
      <c r="B371" s="3">
        <v>223.96</v>
      </c>
      <c r="C371" s="3">
        <v>123.54</v>
      </c>
      <c r="D371" s="3">
        <v>251.51</v>
      </c>
      <c r="E371" s="3">
        <v>35.659999999999997</v>
      </c>
      <c r="F371" s="3">
        <v>34.51</v>
      </c>
      <c r="G371" s="4">
        <v>5564.41</v>
      </c>
      <c r="I371" s="3">
        <f t="shared" si="21"/>
        <v>-1.5615591992412968E-3</v>
      </c>
      <c r="J371" s="3">
        <f t="shared" si="21"/>
        <v>4.6473762165874448E-2</v>
      </c>
      <c r="K371" s="3">
        <f t="shared" si="21"/>
        <v>5.0182728104264024E-2</v>
      </c>
      <c r="L371" s="3">
        <f t="shared" si="21"/>
        <v>-7.5429886904331373E-3</v>
      </c>
      <c r="M371" s="3">
        <f t="shared" si="22"/>
        <v>-5.202323871746262E-3</v>
      </c>
      <c r="N371" s="3">
        <f t="shared" si="22"/>
        <v>1.0734189165974961E-2</v>
      </c>
    </row>
    <row r="372" spans="1:14" x14ac:dyDescent="0.3">
      <c r="A372" s="2">
        <v>45492</v>
      </c>
      <c r="B372" s="3">
        <v>224.31</v>
      </c>
      <c r="C372" s="3">
        <v>117.93</v>
      </c>
      <c r="D372" s="3">
        <v>239.2</v>
      </c>
      <c r="E372" s="3">
        <v>35.93</v>
      </c>
      <c r="F372" s="3">
        <v>34.69</v>
      </c>
      <c r="G372" s="4">
        <v>5505</v>
      </c>
      <c r="I372" s="3">
        <f t="shared" si="21"/>
        <v>5.7972308698451202E-4</v>
      </c>
      <c r="J372" s="3">
        <f t="shared" si="21"/>
        <v>-2.644284266439623E-2</v>
      </c>
      <c r="K372" s="3">
        <f t="shared" si="21"/>
        <v>-4.1076142823845592E-2</v>
      </c>
      <c r="L372" s="3">
        <f t="shared" si="21"/>
        <v>1.1138959659114476E-3</v>
      </c>
      <c r="M372" s="3">
        <f t="shared" si="22"/>
        <v>-9.4678658760476517E-3</v>
      </c>
      <c r="N372" s="3">
        <f t="shared" si="22"/>
        <v>-7.1659074070294041E-3</v>
      </c>
    </row>
    <row r="373" spans="1:14" x14ac:dyDescent="0.3">
      <c r="A373" s="2">
        <v>45491</v>
      </c>
      <c r="B373" s="3">
        <v>224.18</v>
      </c>
      <c r="C373" s="3">
        <v>121.09</v>
      </c>
      <c r="D373" s="3">
        <v>249.23</v>
      </c>
      <c r="E373" s="3">
        <v>35.89</v>
      </c>
      <c r="F373" s="3">
        <v>35.020000000000003</v>
      </c>
      <c r="G373" s="4">
        <v>5544.59</v>
      </c>
      <c r="I373" s="3">
        <f t="shared" si="21"/>
        <v>-2.0748548148905522E-2</v>
      </c>
      <c r="J373" s="3">
        <f t="shared" si="21"/>
        <v>2.5934195654447028E-2</v>
      </c>
      <c r="K373" s="3">
        <f t="shared" si="21"/>
        <v>2.9333193636387144E-3</v>
      </c>
      <c r="L373" s="3">
        <f t="shared" si="21"/>
        <v>-7.4948303644597697E-3</v>
      </c>
      <c r="M373" s="3">
        <f t="shared" si="22"/>
        <v>-1.2203926120430671E-2</v>
      </c>
      <c r="N373" s="3">
        <f t="shared" si="22"/>
        <v>-7.8470804696827295E-3</v>
      </c>
    </row>
    <row r="374" spans="1:14" x14ac:dyDescent="0.3">
      <c r="A374" s="2">
        <v>45490</v>
      </c>
      <c r="B374" s="3">
        <v>228.88</v>
      </c>
      <c r="C374" s="3">
        <v>117.99</v>
      </c>
      <c r="D374" s="3">
        <v>248.5</v>
      </c>
      <c r="E374" s="3">
        <v>36.159999999999997</v>
      </c>
      <c r="F374" s="3">
        <v>35.450000000000003</v>
      </c>
      <c r="G374" s="4">
        <v>5588.27</v>
      </c>
      <c r="I374" s="3">
        <f t="shared" si="21"/>
        <v>-2.5621414460210976E-2</v>
      </c>
      <c r="J374" s="3">
        <f t="shared" si="21"/>
        <v>-6.8535100822056577E-2</v>
      </c>
      <c r="K374" s="3">
        <f t="shared" si="21"/>
        <v>-3.1919709848216064E-2</v>
      </c>
      <c r="L374" s="3">
        <f t="shared" si="21"/>
        <v>-3.8642057468293422E-3</v>
      </c>
      <c r="M374" s="3">
        <f t="shared" si="22"/>
        <v>3.3907916070827679E-3</v>
      </c>
      <c r="N374" s="3">
        <f t="shared" si="22"/>
        <v>-1.4025410555021933E-2</v>
      </c>
    </row>
    <row r="375" spans="1:14" x14ac:dyDescent="0.3">
      <c r="A375" s="2">
        <v>45489</v>
      </c>
      <c r="B375" s="3">
        <v>234.82</v>
      </c>
      <c r="C375" s="3">
        <v>126.36</v>
      </c>
      <c r="D375" s="3">
        <v>256.56</v>
      </c>
      <c r="E375" s="3">
        <v>36.299999999999997</v>
      </c>
      <c r="F375" s="3">
        <v>35.33</v>
      </c>
      <c r="G375" s="4">
        <v>5667.2</v>
      </c>
      <c r="I375" s="3">
        <f t="shared" si="21"/>
        <v>1.790205499208203E-3</v>
      </c>
      <c r="J375" s="3">
        <f t="shared" si="21"/>
        <v>-1.6326893287428781E-2</v>
      </c>
      <c r="K375" s="3">
        <f t="shared" si="21"/>
        <v>1.5397004877567575E-2</v>
      </c>
      <c r="L375" s="3">
        <f t="shared" si="21"/>
        <v>1.638697966444785E-2</v>
      </c>
      <c r="M375" s="3">
        <f t="shared" si="22"/>
        <v>2.0878779307375282E-2</v>
      </c>
      <c r="N375" s="3">
        <f t="shared" si="22"/>
        <v>6.3690536600414091E-3</v>
      </c>
    </row>
    <row r="376" spans="1:14" x14ac:dyDescent="0.3">
      <c r="A376" s="2">
        <v>45488</v>
      </c>
      <c r="B376" s="3">
        <v>234.4</v>
      </c>
      <c r="C376" s="3">
        <v>128.44</v>
      </c>
      <c r="D376" s="3">
        <v>252.64</v>
      </c>
      <c r="E376" s="3">
        <v>35.71</v>
      </c>
      <c r="F376" s="3">
        <v>34.6</v>
      </c>
      <c r="G376" s="4">
        <v>5631.22</v>
      </c>
      <c r="I376" s="3">
        <f t="shared" si="21"/>
        <v>1.6604674529990988E-2</v>
      </c>
      <c r="J376" s="3">
        <f t="shared" si="21"/>
        <v>-6.2092717349844411E-3</v>
      </c>
      <c r="K376" s="3">
        <f t="shared" si="21"/>
        <v>1.760981477513248E-2</v>
      </c>
      <c r="L376" s="3">
        <f t="shared" si="21"/>
        <v>3.4471437569042966E-2</v>
      </c>
      <c r="M376" s="3">
        <f t="shared" si="22"/>
        <v>2.3688781337480112E-2</v>
      </c>
      <c r="N376" s="3">
        <f t="shared" si="22"/>
        <v>2.822195662042845E-3</v>
      </c>
    </row>
    <row r="377" spans="1:14" x14ac:dyDescent="0.3">
      <c r="A377" s="2">
        <v>45485</v>
      </c>
      <c r="B377" s="3">
        <v>230.54</v>
      </c>
      <c r="C377" s="3">
        <v>129.24</v>
      </c>
      <c r="D377" s="3">
        <v>248.23</v>
      </c>
      <c r="E377" s="3">
        <v>34.5</v>
      </c>
      <c r="F377" s="3">
        <v>33.79</v>
      </c>
      <c r="G377" s="4">
        <v>5615.35</v>
      </c>
      <c r="I377" s="3">
        <f t="shared" si="21"/>
        <v>1.2966499801739235E-2</v>
      </c>
      <c r="J377" s="3">
        <f t="shared" si="21"/>
        <v>1.4339397818234453E-2</v>
      </c>
      <c r="K377" s="3">
        <f t="shared" si="21"/>
        <v>2.94343286609011E-2</v>
      </c>
      <c r="L377" s="3">
        <f t="shared" si="21"/>
        <v>-2.8981307259788645E-4</v>
      </c>
      <c r="M377" s="3">
        <f t="shared" si="22"/>
        <v>1.4808236083763311E-3</v>
      </c>
      <c r="N377" s="3">
        <f t="shared" si="22"/>
        <v>5.5018536287759819E-3</v>
      </c>
    </row>
    <row r="378" spans="1:14" x14ac:dyDescent="0.3">
      <c r="A378" s="2">
        <v>45484</v>
      </c>
      <c r="B378" s="3">
        <v>227.57</v>
      </c>
      <c r="C378" s="3">
        <v>127.4</v>
      </c>
      <c r="D378" s="3">
        <v>241.03</v>
      </c>
      <c r="E378" s="3">
        <v>34.51</v>
      </c>
      <c r="F378" s="3">
        <v>33.74</v>
      </c>
      <c r="G378" s="4">
        <v>5584.54</v>
      </c>
      <c r="I378" s="3">
        <f t="shared" si="21"/>
        <v>-2.349472960050368E-2</v>
      </c>
      <c r="J378" s="3">
        <f t="shared" si="21"/>
        <v>-5.7276146312662667E-2</v>
      </c>
      <c r="K378" s="3">
        <f t="shared" si="21"/>
        <v>-8.8220729925963345E-2</v>
      </c>
      <c r="L378" s="3">
        <f t="shared" si="21"/>
        <v>1.9605602371889311E-2</v>
      </c>
      <c r="M378" s="3">
        <f t="shared" si="22"/>
        <v>2.4603701308953098E-2</v>
      </c>
      <c r="N378" s="3">
        <f t="shared" si="22"/>
        <v>-8.8016292301766504E-3</v>
      </c>
    </row>
    <row r="379" spans="1:14" x14ac:dyDescent="0.3">
      <c r="A379" s="2">
        <v>45483</v>
      </c>
      <c r="B379" s="3">
        <v>232.98</v>
      </c>
      <c r="C379" s="3">
        <v>134.91</v>
      </c>
      <c r="D379" s="3">
        <v>263.26</v>
      </c>
      <c r="E379" s="3">
        <v>33.840000000000003</v>
      </c>
      <c r="F379" s="3">
        <v>32.92</v>
      </c>
      <c r="G379" s="4">
        <v>5633.91</v>
      </c>
      <c r="I379" s="3">
        <f t="shared" si="21"/>
        <v>1.8628966575860231E-2</v>
      </c>
      <c r="J379" s="3">
        <f t="shared" si="21"/>
        <v>2.6514001986398836E-2</v>
      </c>
      <c r="K379" s="3">
        <f t="shared" si="21"/>
        <v>3.5388838090011148E-3</v>
      </c>
      <c r="L379" s="3">
        <f t="shared" si="21"/>
        <v>1.2189834306015361E-2</v>
      </c>
      <c r="M379" s="3">
        <f t="shared" si="22"/>
        <v>1.3455860515391927E-2</v>
      </c>
      <c r="N379" s="3">
        <f t="shared" si="22"/>
        <v>1.0156283642139425E-2</v>
      </c>
    </row>
    <row r="380" spans="1:14" x14ac:dyDescent="0.3">
      <c r="A380" s="2">
        <v>45482</v>
      </c>
      <c r="B380" s="3">
        <v>228.68</v>
      </c>
      <c r="C380" s="3">
        <v>131.38</v>
      </c>
      <c r="D380" s="3">
        <v>262.33</v>
      </c>
      <c r="E380" s="3">
        <v>33.43</v>
      </c>
      <c r="F380" s="3">
        <v>32.479999999999997</v>
      </c>
      <c r="G380" s="4">
        <v>5576.98</v>
      </c>
      <c r="I380" s="3">
        <f t="shared" si="21"/>
        <v>3.7678029240046994E-3</v>
      </c>
      <c r="J380" s="3">
        <f t="shared" si="21"/>
        <v>2.4502342977757247E-2</v>
      </c>
      <c r="K380" s="3">
        <f t="shared" si="21"/>
        <v>3.64509467364302E-2</v>
      </c>
      <c r="L380" s="3">
        <f t="shared" si="21"/>
        <v>-2.1894365695193228E-2</v>
      </c>
      <c r="M380" s="3">
        <f t="shared" si="22"/>
        <v>-2.7631938662086099E-2</v>
      </c>
      <c r="N380" s="3">
        <f t="shared" si="22"/>
        <v>7.4081850375864739E-4</v>
      </c>
    </row>
    <row r="381" spans="1:14" x14ac:dyDescent="0.3">
      <c r="A381" s="2">
        <v>45481</v>
      </c>
      <c r="B381" s="3">
        <v>227.82</v>
      </c>
      <c r="C381" s="3">
        <v>128.19999999999999</v>
      </c>
      <c r="D381" s="3">
        <v>252.94</v>
      </c>
      <c r="E381" s="3">
        <v>34.17</v>
      </c>
      <c r="F381" s="3">
        <v>33.39</v>
      </c>
      <c r="G381" s="4">
        <v>5572.85</v>
      </c>
      <c r="I381" s="3">
        <f t="shared" si="21"/>
        <v>6.5175499339704939E-3</v>
      </c>
      <c r="J381" s="3">
        <f t="shared" si="21"/>
        <v>1.8659754882693017E-2</v>
      </c>
      <c r="K381" s="3">
        <f t="shared" si="21"/>
        <v>5.6297972109885675E-3</v>
      </c>
      <c r="L381" s="3">
        <f t="shared" si="21"/>
        <v>-1.4622023368469099E-3</v>
      </c>
      <c r="M381" s="3">
        <f t="shared" si="22"/>
        <v>2.6990569691652047E-3</v>
      </c>
      <c r="N381" s="3">
        <f t="shared" si="22"/>
        <v>1.0161544279964853E-3</v>
      </c>
    </row>
    <row r="382" spans="1:14" x14ac:dyDescent="0.3">
      <c r="A382" s="2">
        <v>45478</v>
      </c>
      <c r="B382" s="3">
        <v>226.34</v>
      </c>
      <c r="C382" s="3">
        <v>125.83</v>
      </c>
      <c r="D382" s="3">
        <v>251.52</v>
      </c>
      <c r="E382" s="3">
        <v>34.22</v>
      </c>
      <c r="F382" s="3">
        <v>33.299999999999997</v>
      </c>
      <c r="G382" s="4">
        <v>5567.19</v>
      </c>
      <c r="I382" s="3">
        <f t="shared" si="21"/>
        <v>2.1389995892297006E-2</v>
      </c>
      <c r="J382" s="3">
        <f t="shared" si="21"/>
        <v>-1.9283585221077631E-2</v>
      </c>
      <c r="K382" s="3">
        <f t="shared" si="21"/>
        <v>2.0606862820631275E-2</v>
      </c>
      <c r="L382" s="3">
        <f t="shared" si="21"/>
        <v>-7.2791120647265348E-3</v>
      </c>
      <c r="M382" s="3">
        <f t="shared" si="22"/>
        <v>-7.4794664312926237E-3</v>
      </c>
      <c r="N382" s="3">
        <f t="shared" si="22"/>
        <v>5.4339884131971751E-3</v>
      </c>
    </row>
    <row r="383" spans="1:14" x14ac:dyDescent="0.3">
      <c r="A383" s="2">
        <v>45476</v>
      </c>
      <c r="B383" s="3">
        <v>221.55</v>
      </c>
      <c r="C383" s="3">
        <v>128.28</v>
      </c>
      <c r="D383" s="3">
        <v>246.39</v>
      </c>
      <c r="E383" s="3">
        <v>34.47</v>
      </c>
      <c r="F383" s="3">
        <v>33.549999999999997</v>
      </c>
      <c r="G383" s="4">
        <v>5537.02</v>
      </c>
      <c r="I383" s="3">
        <f t="shared" si="21"/>
        <v>5.7942310494322798E-3</v>
      </c>
      <c r="J383" s="3">
        <f t="shared" si="21"/>
        <v>4.4717551780293567E-2</v>
      </c>
      <c r="K383" s="3">
        <f t="shared" si="21"/>
        <v>6.3373027719394973E-2</v>
      </c>
      <c r="L383" s="3">
        <f t="shared" si="21"/>
        <v>-6.3620804528842691E-3</v>
      </c>
      <c r="M383" s="3">
        <f t="shared" si="22"/>
        <v>-6.2398063100655536E-3</v>
      </c>
      <c r="N383" s="3">
        <f t="shared" si="22"/>
        <v>5.0715161981972666E-3</v>
      </c>
    </row>
    <row r="384" spans="1:14" x14ac:dyDescent="0.3">
      <c r="A384" s="2">
        <v>45475</v>
      </c>
      <c r="B384" s="3">
        <v>220.27</v>
      </c>
      <c r="C384" s="3">
        <v>122.67</v>
      </c>
      <c r="D384" s="3">
        <v>231.26</v>
      </c>
      <c r="E384" s="3">
        <v>34.69</v>
      </c>
      <c r="F384" s="3">
        <v>33.76</v>
      </c>
      <c r="G384" s="4">
        <v>5509.01</v>
      </c>
      <c r="I384" s="3">
        <f t="shared" si="21"/>
        <v>1.6109450935414969E-2</v>
      </c>
      <c r="J384" s="3">
        <f t="shared" si="21"/>
        <v>-1.3200175472004753E-2</v>
      </c>
      <c r="K384" s="3">
        <f t="shared" si="21"/>
        <v>9.7101976971050677E-2</v>
      </c>
      <c r="L384" s="3">
        <f t="shared" si="21"/>
        <v>-7.1808437242521124E-3</v>
      </c>
      <c r="M384" s="3">
        <f t="shared" si="22"/>
        <v>5.0482661035548123E-3</v>
      </c>
      <c r="N384" s="3">
        <f t="shared" si="22"/>
        <v>6.1762197767835335E-3</v>
      </c>
    </row>
    <row r="385" spans="1:14" x14ac:dyDescent="0.3">
      <c r="A385" s="2">
        <v>45474</v>
      </c>
      <c r="B385" s="3">
        <v>216.75</v>
      </c>
      <c r="C385" s="3">
        <v>124.3</v>
      </c>
      <c r="D385" s="3">
        <v>209.86</v>
      </c>
      <c r="E385" s="3">
        <v>34.94</v>
      </c>
      <c r="F385" s="3">
        <v>33.590000000000003</v>
      </c>
      <c r="G385" s="4">
        <v>5475.09</v>
      </c>
      <c r="I385" s="3">
        <f t="shared" si="21"/>
        <v>2.868905370820015E-2</v>
      </c>
      <c r="J385" s="3">
        <f t="shared" si="21"/>
        <v>6.1330082489121848E-3</v>
      </c>
      <c r="K385" s="3">
        <f t="shared" si="21"/>
        <v>5.8779855370257116E-2</v>
      </c>
      <c r="L385" s="3">
        <f t="shared" si="21"/>
        <v>-6.5611417799806395E-3</v>
      </c>
      <c r="M385" s="3">
        <f t="shared" si="22"/>
        <v>4.1766170499638296E-3</v>
      </c>
      <c r="N385" s="3">
        <f t="shared" si="22"/>
        <v>2.6720159429360979E-3</v>
      </c>
    </row>
    <row r="386" spans="1:14" x14ac:dyDescent="0.3">
      <c r="A386" s="2">
        <v>45471</v>
      </c>
      <c r="B386" s="3">
        <v>210.62</v>
      </c>
      <c r="C386" s="3">
        <v>123.54</v>
      </c>
      <c r="D386" s="3">
        <v>197.88</v>
      </c>
      <c r="E386" s="3">
        <v>35.17</v>
      </c>
      <c r="F386" s="3">
        <v>33.450000000000003</v>
      </c>
      <c r="G386" s="4">
        <v>5460.48</v>
      </c>
      <c r="I386" s="3">
        <f t="shared" si="21"/>
        <v>-1.6387633643185913E-2</v>
      </c>
      <c r="J386" s="3">
        <f t="shared" si="21"/>
        <v>-3.6359269239974838E-3</v>
      </c>
      <c r="K386" s="3">
        <f t="shared" si="21"/>
        <v>2.3273473697660637E-3</v>
      </c>
      <c r="L386" s="3">
        <f t="shared" si="21"/>
        <v>2.1555655702497813E-2</v>
      </c>
      <c r="M386" s="3">
        <f t="shared" si="22"/>
        <v>1.2635547171539136E-2</v>
      </c>
      <c r="N386" s="3">
        <f t="shared" si="22"/>
        <v>-4.0919885121458088E-3</v>
      </c>
    </row>
    <row r="387" spans="1:14" x14ac:dyDescent="0.3">
      <c r="A387" s="2">
        <v>45470</v>
      </c>
      <c r="B387" s="3">
        <v>214.1</v>
      </c>
      <c r="C387" s="3">
        <v>123.99</v>
      </c>
      <c r="D387" s="3">
        <v>197.42</v>
      </c>
      <c r="E387" s="3">
        <v>34.42</v>
      </c>
      <c r="F387" s="3">
        <v>33.03</v>
      </c>
      <c r="G387" s="4">
        <v>5482.87</v>
      </c>
      <c r="I387" s="3">
        <f t="shared" si="21"/>
        <v>3.9780092238486118E-3</v>
      </c>
      <c r="J387" s="3">
        <f t="shared" si="21"/>
        <v>-1.9250564521006413E-2</v>
      </c>
      <c r="K387" s="3">
        <f t="shared" si="21"/>
        <v>5.3328042276029868E-3</v>
      </c>
      <c r="L387" s="3">
        <f t="shared" ref="L387:N450" si="23">LN(E387/E388)</f>
        <v>-1.4515897453805902E-3</v>
      </c>
      <c r="M387" s="3">
        <f t="shared" si="22"/>
        <v>6.056935375967368E-4</v>
      </c>
      <c r="N387" s="3">
        <f t="shared" si="22"/>
        <v>9.068706560974762E-4</v>
      </c>
    </row>
    <row r="388" spans="1:14" x14ac:dyDescent="0.3">
      <c r="A388" s="2">
        <v>45469</v>
      </c>
      <c r="B388" s="3">
        <v>213.25</v>
      </c>
      <c r="C388" s="3">
        <v>126.4</v>
      </c>
      <c r="D388" s="3">
        <v>196.37</v>
      </c>
      <c r="E388" s="3">
        <v>34.47</v>
      </c>
      <c r="F388" s="3">
        <v>33.01</v>
      </c>
      <c r="G388" s="4">
        <v>5477.9</v>
      </c>
      <c r="I388" s="3">
        <f t="shared" ref="I388:N451" si="24">LN(B388/B389)</f>
        <v>1.9796062253251291E-2</v>
      </c>
      <c r="J388" s="3">
        <f t="shared" si="24"/>
        <v>2.4555440276219911E-3</v>
      </c>
      <c r="K388" s="3">
        <f t="shared" si="24"/>
        <v>4.7022109522442616E-2</v>
      </c>
      <c r="L388" s="3">
        <f t="shared" si="23"/>
        <v>-1.0963756677758962E-2</v>
      </c>
      <c r="M388" s="3">
        <f t="shared" si="23"/>
        <v>9.1297043148090371E-3</v>
      </c>
      <c r="N388" s="3">
        <f t="shared" si="23"/>
        <v>1.5711783413408377E-3</v>
      </c>
    </row>
    <row r="389" spans="1:14" x14ac:dyDescent="0.3">
      <c r="A389" s="2">
        <v>45468</v>
      </c>
      <c r="B389" s="3">
        <v>209.07</v>
      </c>
      <c r="C389" s="3">
        <v>126.09</v>
      </c>
      <c r="D389" s="3">
        <v>187.35</v>
      </c>
      <c r="E389" s="3">
        <v>34.85</v>
      </c>
      <c r="F389" s="3">
        <v>32.71</v>
      </c>
      <c r="G389" s="4">
        <v>5469.3</v>
      </c>
      <c r="I389" s="3">
        <f t="shared" si="24"/>
        <v>4.4581939088239372E-3</v>
      </c>
      <c r="J389" s="3">
        <f t="shared" si="24"/>
        <v>6.5379544061379219E-2</v>
      </c>
      <c r="K389" s="3">
        <f t="shared" si="24"/>
        <v>2.5790092102761508E-2</v>
      </c>
      <c r="L389" s="3">
        <f t="shared" si="23"/>
        <v>1.2705917397144108E-2</v>
      </c>
      <c r="M389" s="3">
        <f t="shared" si="23"/>
        <v>-1.5170193838362617E-2</v>
      </c>
      <c r="N389" s="3">
        <f t="shared" si="23"/>
        <v>3.9259309005764296E-3</v>
      </c>
    </row>
    <row r="390" spans="1:14" x14ac:dyDescent="0.3">
      <c r="A390" s="2">
        <v>45467</v>
      </c>
      <c r="B390" s="3">
        <v>208.14</v>
      </c>
      <c r="C390" s="3">
        <v>118.11</v>
      </c>
      <c r="D390" s="3">
        <v>182.58</v>
      </c>
      <c r="E390" s="3">
        <v>34.409999999999997</v>
      </c>
      <c r="F390" s="3">
        <v>33.21</v>
      </c>
      <c r="G390" s="4">
        <v>5447.87</v>
      </c>
      <c r="I390" s="3">
        <f t="shared" si="24"/>
        <v>3.1277844713533962E-3</v>
      </c>
      <c r="J390" s="3">
        <f t="shared" si="24"/>
        <v>-6.9179121180601127E-2</v>
      </c>
      <c r="K390" s="3">
        <f t="shared" si="24"/>
        <v>-2.3523630202561424E-3</v>
      </c>
      <c r="L390" s="3">
        <f t="shared" si="23"/>
        <v>4.3963123421115989E-2</v>
      </c>
      <c r="M390" s="3">
        <f t="shared" si="23"/>
        <v>-6.0042209800098322E-3</v>
      </c>
      <c r="N390" s="3">
        <f t="shared" si="23"/>
        <v>-3.0698792218004059E-3</v>
      </c>
    </row>
    <row r="391" spans="1:14" x14ac:dyDescent="0.3">
      <c r="A391" s="2">
        <v>45464</v>
      </c>
      <c r="B391" s="3">
        <v>207.49</v>
      </c>
      <c r="C391" s="3">
        <v>126.57</v>
      </c>
      <c r="D391" s="3">
        <v>183.01</v>
      </c>
      <c r="E391" s="3">
        <v>32.93</v>
      </c>
      <c r="F391" s="3">
        <v>33.409999999999997</v>
      </c>
      <c r="G391" s="4">
        <v>5464.62</v>
      </c>
      <c r="I391" s="3">
        <f t="shared" si="24"/>
        <v>-1.0499413276791171E-2</v>
      </c>
      <c r="J391" s="3">
        <f t="shared" si="24"/>
        <v>-3.2721007328772991E-2</v>
      </c>
      <c r="K391" s="3">
        <f t="shared" si="24"/>
        <v>7.8995418746152426E-3</v>
      </c>
      <c r="L391" s="3">
        <f t="shared" si="23"/>
        <v>-1.2139606953667074E-3</v>
      </c>
      <c r="M391" s="3">
        <f t="shared" si="23"/>
        <v>2.9976041630766894E-3</v>
      </c>
      <c r="N391" s="3">
        <f t="shared" si="23"/>
        <v>-1.5633874377691908E-3</v>
      </c>
    </row>
    <row r="392" spans="1:14" x14ac:dyDescent="0.3">
      <c r="A392" s="2">
        <v>45463</v>
      </c>
      <c r="B392" s="3">
        <v>209.68</v>
      </c>
      <c r="C392" s="3">
        <v>130.78</v>
      </c>
      <c r="D392" s="3">
        <v>181.57</v>
      </c>
      <c r="E392" s="3">
        <v>32.97</v>
      </c>
      <c r="F392" s="3">
        <v>33.31</v>
      </c>
      <c r="G392" s="4">
        <v>5473.17</v>
      </c>
      <c r="I392" s="3">
        <f t="shared" si="24"/>
        <v>-2.1747678819839824E-2</v>
      </c>
      <c r="J392" s="3">
        <f t="shared" si="24"/>
        <v>-3.6045349869689741E-2</v>
      </c>
      <c r="K392" s="3">
        <f t="shared" si="24"/>
        <v>-1.7957527554056042E-2</v>
      </c>
      <c r="L392" s="3">
        <f t="shared" si="23"/>
        <v>2.5496696774273072E-2</v>
      </c>
      <c r="M392" s="3">
        <f t="shared" si="23"/>
        <v>8.4414128028899756E-3</v>
      </c>
      <c r="N392" s="3">
        <f t="shared" si="23"/>
        <v>-2.5291522760688338E-3</v>
      </c>
    </row>
    <row r="393" spans="1:14" x14ac:dyDescent="0.3">
      <c r="A393" s="2">
        <v>45461</v>
      </c>
      <c r="B393" s="3">
        <v>214.29</v>
      </c>
      <c r="C393" s="3">
        <v>135.58000000000001</v>
      </c>
      <c r="D393" s="3">
        <v>184.86</v>
      </c>
      <c r="E393" s="3">
        <v>32.14</v>
      </c>
      <c r="F393" s="3">
        <v>33.03</v>
      </c>
      <c r="G393" s="4">
        <v>5487.03</v>
      </c>
      <c r="I393" s="3">
        <f t="shared" si="24"/>
        <v>-1.1045220883624869E-2</v>
      </c>
      <c r="J393" s="3">
        <f t="shared" si="24"/>
        <v>3.4517232212912273E-2</v>
      </c>
      <c r="K393" s="3">
        <f t="shared" si="24"/>
        <v>-1.3860012362908552E-2</v>
      </c>
      <c r="L393" s="3">
        <f t="shared" si="23"/>
        <v>3.4283966882998128E-3</v>
      </c>
      <c r="M393" s="3">
        <f t="shared" si="23"/>
        <v>1.2797249601470644E-2</v>
      </c>
      <c r="N393" s="3">
        <f t="shared" si="23"/>
        <v>2.5181897678469146E-3</v>
      </c>
    </row>
    <row r="394" spans="1:14" x14ac:dyDescent="0.3">
      <c r="A394" s="2">
        <v>45460</v>
      </c>
      <c r="B394" s="3">
        <v>216.67</v>
      </c>
      <c r="C394" s="3">
        <v>130.97999999999999</v>
      </c>
      <c r="D394" s="3">
        <v>187.44</v>
      </c>
      <c r="E394" s="3">
        <v>32.03</v>
      </c>
      <c r="F394" s="3">
        <v>32.61</v>
      </c>
      <c r="G394" s="4">
        <v>5473.23</v>
      </c>
      <c r="I394" s="3">
        <f t="shared" si="24"/>
        <v>1.9480530284974665E-2</v>
      </c>
      <c r="J394" s="3">
        <f t="shared" si="24"/>
        <v>-6.8477784136228076E-3</v>
      </c>
      <c r="K394" s="3">
        <f t="shared" si="24"/>
        <v>5.1619065710198767E-2</v>
      </c>
      <c r="L394" s="3">
        <f t="shared" si="23"/>
        <v>2.9786739550404413E-2</v>
      </c>
      <c r="M394" s="3">
        <f t="shared" si="23"/>
        <v>1.3273848236990673E-2</v>
      </c>
      <c r="N394" s="3">
        <f t="shared" si="23"/>
        <v>7.6351859201040807E-3</v>
      </c>
    </row>
    <row r="395" spans="1:14" x14ac:dyDescent="0.3">
      <c r="A395" s="2">
        <v>45457</v>
      </c>
      <c r="B395" s="3">
        <v>212.49</v>
      </c>
      <c r="C395" s="3">
        <v>131.88</v>
      </c>
      <c r="D395" s="3">
        <v>178.01</v>
      </c>
      <c r="E395" s="3">
        <v>31.09</v>
      </c>
      <c r="F395" s="3">
        <v>32.18</v>
      </c>
      <c r="G395" s="4">
        <v>5431.6</v>
      </c>
      <c r="I395" s="3">
        <f t="shared" si="24"/>
        <v>-8.2019535092213904E-3</v>
      </c>
      <c r="J395" s="3">
        <f t="shared" si="24"/>
        <v>1.7362476768246544E-2</v>
      </c>
      <c r="K395" s="3">
        <f t="shared" si="24"/>
        <v>-2.474604745910234E-2</v>
      </c>
      <c r="L395" s="3">
        <f t="shared" si="23"/>
        <v>-1.7219813246895043E-2</v>
      </c>
      <c r="M395" s="3">
        <f t="shared" si="23"/>
        <v>-1.0817598921022973E-2</v>
      </c>
      <c r="N395" s="3">
        <f t="shared" si="23"/>
        <v>-3.9391312700216223E-4</v>
      </c>
    </row>
    <row r="396" spans="1:14" x14ac:dyDescent="0.3">
      <c r="A396" s="2">
        <v>45456</v>
      </c>
      <c r="B396" s="3">
        <v>214.24</v>
      </c>
      <c r="C396" s="3">
        <v>129.61000000000001</v>
      </c>
      <c r="D396" s="3">
        <v>182.47</v>
      </c>
      <c r="E396" s="3">
        <v>31.63</v>
      </c>
      <c r="F396" s="3">
        <v>32.53</v>
      </c>
      <c r="G396" s="4">
        <v>5433.74</v>
      </c>
      <c r="I396" s="3">
        <f t="shared" si="24"/>
        <v>5.4761317255874456E-3</v>
      </c>
      <c r="J396" s="3">
        <f t="shared" si="24"/>
        <v>3.4617482769285633E-2</v>
      </c>
      <c r="K396" s="3">
        <f t="shared" si="24"/>
        <v>2.8798966038154739E-2</v>
      </c>
      <c r="L396" s="3">
        <f t="shared" si="23"/>
        <v>-1.9101880320870211E-2</v>
      </c>
      <c r="M396" s="3">
        <f t="shared" si="23"/>
        <v>-7.0455184996084498E-3</v>
      </c>
      <c r="N396" s="3">
        <f t="shared" si="23"/>
        <v>2.341828672305396E-3</v>
      </c>
    </row>
    <row r="397" spans="1:14" x14ac:dyDescent="0.3">
      <c r="A397" s="2">
        <v>45455</v>
      </c>
      <c r="B397" s="3">
        <v>213.07</v>
      </c>
      <c r="C397" s="3">
        <v>125.2</v>
      </c>
      <c r="D397" s="3">
        <v>177.29</v>
      </c>
      <c r="E397" s="3">
        <v>32.24</v>
      </c>
      <c r="F397" s="3">
        <v>32.76</v>
      </c>
      <c r="G397" s="4">
        <v>5421.03</v>
      </c>
      <c r="I397" s="3">
        <f t="shared" si="24"/>
        <v>2.8177581693864077E-2</v>
      </c>
      <c r="J397" s="3">
        <f t="shared" si="24"/>
        <v>3.486599147984281E-2</v>
      </c>
      <c r="K397" s="3">
        <f t="shared" si="24"/>
        <v>3.8113536801850333E-2</v>
      </c>
      <c r="L397" s="3">
        <f t="shared" si="23"/>
        <v>0</v>
      </c>
      <c r="M397" s="3">
        <f t="shared" si="23"/>
        <v>2.7510333718897976E-3</v>
      </c>
      <c r="N397" s="3">
        <f t="shared" si="23"/>
        <v>8.4677271718827819E-3</v>
      </c>
    </row>
    <row r="398" spans="1:14" x14ac:dyDescent="0.3">
      <c r="A398" s="2">
        <v>45454</v>
      </c>
      <c r="B398" s="3">
        <v>207.15</v>
      </c>
      <c r="C398" s="3">
        <v>120.91</v>
      </c>
      <c r="D398" s="3">
        <v>170.66</v>
      </c>
      <c r="E398" s="3">
        <v>32.24</v>
      </c>
      <c r="F398" s="3">
        <v>32.67</v>
      </c>
      <c r="G398" s="4">
        <v>5375.32</v>
      </c>
      <c r="I398" s="3">
        <f t="shared" si="24"/>
        <v>7.0131411174189487E-2</v>
      </c>
      <c r="J398" s="3">
        <f t="shared" si="24"/>
        <v>-7.2517829128638201E-3</v>
      </c>
      <c r="K398" s="3">
        <f t="shared" si="24"/>
        <v>-1.8174400668203614E-2</v>
      </c>
      <c r="L398" s="3">
        <f t="shared" si="23"/>
        <v>-6.184311608784545E-3</v>
      </c>
      <c r="M398" s="3">
        <f t="shared" si="23"/>
        <v>-7.9268707752940797E-3</v>
      </c>
      <c r="N398" s="3">
        <f t="shared" si="23"/>
        <v>2.7067548434573357E-3</v>
      </c>
    </row>
    <row r="399" spans="1:14" x14ac:dyDescent="0.3">
      <c r="A399" s="2">
        <v>45453</v>
      </c>
      <c r="B399" s="3">
        <v>193.12</v>
      </c>
      <c r="C399" s="3">
        <v>121.79</v>
      </c>
      <c r="D399" s="3">
        <v>173.79</v>
      </c>
      <c r="E399" s="3">
        <v>32.44</v>
      </c>
      <c r="F399" s="3">
        <v>32.93</v>
      </c>
      <c r="G399" s="4">
        <v>5360.79</v>
      </c>
      <c r="I399" s="3">
        <f t="shared" si="24"/>
        <v>-1.9333439804519667E-2</v>
      </c>
      <c r="J399" s="3">
        <f t="shared" si="24"/>
        <v>7.4172088851185859E-3</v>
      </c>
      <c r="K399" s="3">
        <f t="shared" si="24"/>
        <v>-2.1010252734066218E-2</v>
      </c>
      <c r="L399" s="3">
        <f t="shared" si="23"/>
        <v>2.4970086347758932E-2</v>
      </c>
      <c r="M399" s="3">
        <f t="shared" si="23"/>
        <v>5.481134307012016E-3</v>
      </c>
      <c r="N399" s="3">
        <f t="shared" si="23"/>
        <v>2.5775665246065955E-3</v>
      </c>
    </row>
    <row r="400" spans="1:14" x14ac:dyDescent="0.3">
      <c r="A400" s="2">
        <v>45450</v>
      </c>
      <c r="B400" s="3">
        <v>196.89</v>
      </c>
      <c r="C400" s="3">
        <v>120.89</v>
      </c>
      <c r="D400" s="3">
        <v>177.48</v>
      </c>
      <c r="E400" s="3">
        <v>31.64</v>
      </c>
      <c r="F400" s="3">
        <v>32.75</v>
      </c>
      <c r="G400" s="4">
        <v>5346.99</v>
      </c>
      <c r="I400" s="3">
        <f t="shared" si="24"/>
        <v>1.231586714587319E-2</v>
      </c>
      <c r="J400" s="3">
        <f t="shared" si="24"/>
        <v>-9.0950438284049986E-4</v>
      </c>
      <c r="K400" s="3">
        <f t="shared" si="24"/>
        <v>-2.5884883059126311E-3</v>
      </c>
      <c r="L400" s="3">
        <f t="shared" si="23"/>
        <v>-3.4705824392475548E-3</v>
      </c>
      <c r="M400" s="3">
        <f t="shared" si="23"/>
        <v>-7.3015231592292156E-3</v>
      </c>
      <c r="N400" s="3">
        <f t="shared" si="23"/>
        <v>-1.1158931807150971E-3</v>
      </c>
    </row>
    <row r="401" spans="1:14" x14ac:dyDescent="0.3">
      <c r="A401" s="2">
        <v>45449</v>
      </c>
      <c r="B401" s="3">
        <v>194.48</v>
      </c>
      <c r="C401" s="3">
        <v>121</v>
      </c>
      <c r="D401" s="3">
        <v>177.94</v>
      </c>
      <c r="E401" s="3">
        <v>31.75</v>
      </c>
      <c r="F401" s="3">
        <v>32.99</v>
      </c>
      <c r="G401" s="4">
        <v>5352.96</v>
      </c>
      <c r="I401" s="3">
        <f t="shared" si="24"/>
        <v>-7.1218438587839971E-3</v>
      </c>
      <c r="J401" s="3">
        <f t="shared" si="24"/>
        <v>-1.183056848047062E-2</v>
      </c>
      <c r="K401" s="3">
        <f t="shared" si="24"/>
        <v>1.666044089310717E-2</v>
      </c>
      <c r="L401" s="3">
        <f t="shared" si="23"/>
        <v>0</v>
      </c>
      <c r="M401" s="3">
        <f t="shared" si="23"/>
        <v>-1.8170810572051437E-3</v>
      </c>
      <c r="N401" s="3">
        <f t="shared" si="23"/>
        <v>-1.9986943175659869E-4</v>
      </c>
    </row>
    <row r="402" spans="1:14" x14ac:dyDescent="0.3">
      <c r="A402" s="2">
        <v>45448</v>
      </c>
      <c r="B402" s="3">
        <v>195.87</v>
      </c>
      <c r="C402" s="3">
        <v>122.44</v>
      </c>
      <c r="D402" s="3">
        <v>175</v>
      </c>
      <c r="E402" s="3">
        <v>31.75</v>
      </c>
      <c r="F402" s="3">
        <v>33.049999999999997</v>
      </c>
      <c r="G402" s="4">
        <v>5354.03</v>
      </c>
      <c r="I402" s="3">
        <f t="shared" si="24"/>
        <v>7.7905165684197843E-3</v>
      </c>
      <c r="J402" s="3">
        <f t="shared" si="24"/>
        <v>5.0244995199789262E-2</v>
      </c>
      <c r="K402" s="3">
        <f t="shared" si="24"/>
        <v>1.3151501452443291E-3</v>
      </c>
      <c r="L402" s="3">
        <f t="shared" si="23"/>
        <v>3.7866880211431353E-3</v>
      </c>
      <c r="M402" s="3">
        <f t="shared" si="23"/>
        <v>8.5081035869717901E-3</v>
      </c>
      <c r="N402" s="3">
        <f t="shared" si="23"/>
        <v>1.1778026448059028E-2</v>
      </c>
    </row>
    <row r="403" spans="1:14" x14ac:dyDescent="0.3">
      <c r="A403" s="2">
        <v>45447</v>
      </c>
      <c r="B403" s="3">
        <v>194.35</v>
      </c>
      <c r="C403" s="3">
        <v>116.44</v>
      </c>
      <c r="D403" s="3">
        <v>174.77</v>
      </c>
      <c r="E403" s="3">
        <v>31.63</v>
      </c>
      <c r="F403" s="3">
        <v>32.770000000000003</v>
      </c>
      <c r="G403" s="4">
        <v>5291.34</v>
      </c>
      <c r="I403" s="3">
        <f t="shared" si="24"/>
        <v>1.6478710150511398E-3</v>
      </c>
      <c r="J403" s="3">
        <f t="shared" si="24"/>
        <v>1.2443990514172488E-2</v>
      </c>
      <c r="K403" s="3">
        <f t="shared" si="24"/>
        <v>-8.6595425193821771E-3</v>
      </c>
      <c r="L403" s="3">
        <f t="shared" si="23"/>
        <v>-1.6306413366070936E-2</v>
      </c>
      <c r="M403" s="3">
        <f t="shared" si="23"/>
        <v>-1.2433822051575116E-2</v>
      </c>
      <c r="N403" s="3">
        <f t="shared" si="23"/>
        <v>1.5016920495655548E-3</v>
      </c>
    </row>
    <row r="404" spans="1:14" x14ac:dyDescent="0.3">
      <c r="A404" s="2">
        <v>45446</v>
      </c>
      <c r="B404" s="3">
        <v>194.03</v>
      </c>
      <c r="C404" s="3">
        <v>115</v>
      </c>
      <c r="D404" s="3">
        <v>176.29</v>
      </c>
      <c r="E404" s="3">
        <v>32.15</v>
      </c>
      <c r="F404" s="3">
        <v>33.18</v>
      </c>
      <c r="G404" s="4">
        <v>5283.4</v>
      </c>
      <c r="I404" s="3">
        <f t="shared" si="24"/>
        <v>9.2161778974277301E-3</v>
      </c>
      <c r="J404" s="3">
        <f t="shared" si="24"/>
        <v>4.7821068676801554E-2</v>
      </c>
      <c r="K404" s="3">
        <f t="shared" si="24"/>
        <v>-1.0102521229582731E-2</v>
      </c>
      <c r="L404" s="3">
        <f t="shared" si="23"/>
        <v>-4.0535794937646114E-2</v>
      </c>
      <c r="M404" s="3">
        <f t="shared" si="23"/>
        <v>-1.7033132556240352E-2</v>
      </c>
      <c r="N404" s="3">
        <f t="shared" si="23"/>
        <v>1.1154342969859781E-3</v>
      </c>
    </row>
    <row r="405" spans="1:14" x14ac:dyDescent="0.3">
      <c r="A405" s="2">
        <v>45443</v>
      </c>
      <c r="B405" s="3">
        <v>192.25</v>
      </c>
      <c r="C405" s="3">
        <v>109.63</v>
      </c>
      <c r="D405" s="3">
        <v>178.08</v>
      </c>
      <c r="E405" s="3">
        <v>33.479999999999997</v>
      </c>
      <c r="F405" s="3">
        <v>33.75</v>
      </c>
      <c r="G405" s="4">
        <v>5277.51</v>
      </c>
      <c r="I405" s="3">
        <f t="shared" si="24"/>
        <v>5.0060072211912839E-3</v>
      </c>
      <c r="J405" s="3">
        <f t="shared" si="24"/>
        <v>-7.9044612713588917E-3</v>
      </c>
      <c r="K405" s="3">
        <f t="shared" si="24"/>
        <v>-3.9790452364939517E-3</v>
      </c>
      <c r="L405" s="3">
        <f t="shared" si="23"/>
        <v>3.0323730327797359E-2</v>
      </c>
      <c r="M405" s="3">
        <f t="shared" si="23"/>
        <v>1.3423020332140771E-2</v>
      </c>
      <c r="N405" s="3">
        <f t="shared" si="23"/>
        <v>7.9958649115222311E-3</v>
      </c>
    </row>
    <row r="406" spans="1:14" x14ac:dyDescent="0.3">
      <c r="A406" s="2">
        <v>45442</v>
      </c>
      <c r="B406" s="3">
        <v>191.29</v>
      </c>
      <c r="C406" s="3">
        <v>110.5</v>
      </c>
      <c r="D406" s="3">
        <v>178.79</v>
      </c>
      <c r="E406" s="3">
        <v>32.479999999999997</v>
      </c>
      <c r="F406" s="3">
        <v>33.299999999999997</v>
      </c>
      <c r="G406" s="4">
        <v>5235.4799999999996</v>
      </c>
      <c r="I406" s="3">
        <f t="shared" si="24"/>
        <v>5.2413768506466675E-3</v>
      </c>
      <c r="J406" s="3">
        <f t="shared" si="24"/>
        <v>-3.8350163781683232E-2</v>
      </c>
      <c r="K406" s="3">
        <f t="shared" si="24"/>
        <v>1.4648974561190858E-2</v>
      </c>
      <c r="L406" s="3">
        <f t="shared" si="23"/>
        <v>1.7078508566786468E-2</v>
      </c>
      <c r="M406" s="3">
        <f t="shared" si="23"/>
        <v>1.8034269991505051E-3</v>
      </c>
      <c r="N406" s="3">
        <f t="shared" si="23"/>
        <v>-5.9929167225422977E-3</v>
      </c>
    </row>
    <row r="407" spans="1:14" x14ac:dyDescent="0.3">
      <c r="A407" s="2">
        <v>45441</v>
      </c>
      <c r="B407" s="3">
        <v>190.29</v>
      </c>
      <c r="C407" s="3">
        <v>114.82</v>
      </c>
      <c r="D407" s="3">
        <v>176.19</v>
      </c>
      <c r="E407" s="3">
        <v>31.93</v>
      </c>
      <c r="F407" s="3">
        <v>33.24</v>
      </c>
      <c r="G407" s="4">
        <v>5266.95</v>
      </c>
      <c r="I407" s="3">
        <f t="shared" si="24"/>
        <v>1.5777851174667318E-3</v>
      </c>
      <c r="J407" s="3">
        <f t="shared" si="24"/>
        <v>8.0448142863541183E-3</v>
      </c>
      <c r="K407" s="3">
        <f t="shared" si="24"/>
        <v>-3.1733465741443341E-3</v>
      </c>
      <c r="L407" s="3">
        <f t="shared" si="23"/>
        <v>-1.4921010426765241E-2</v>
      </c>
      <c r="M407" s="3">
        <f t="shared" si="23"/>
        <v>-7.1942756340269733E-3</v>
      </c>
      <c r="N407" s="3">
        <f t="shared" si="23"/>
        <v>-7.3943469365055463E-3</v>
      </c>
    </row>
    <row r="408" spans="1:14" x14ac:dyDescent="0.3">
      <c r="A408" s="2">
        <v>45440</v>
      </c>
      <c r="B408" s="3">
        <v>189.99</v>
      </c>
      <c r="C408" s="3">
        <v>113.9</v>
      </c>
      <c r="D408" s="3">
        <v>176.75</v>
      </c>
      <c r="E408" s="3">
        <v>32.409999999999997</v>
      </c>
      <c r="F408" s="3">
        <v>33.479999999999997</v>
      </c>
      <c r="G408" s="4">
        <v>5306.04</v>
      </c>
      <c r="I408" s="3">
        <f t="shared" si="24"/>
        <v>5.2635734412367455E-5</v>
      </c>
      <c r="J408" s="3">
        <f t="shared" si="24"/>
        <v>6.7457615126621795E-2</v>
      </c>
      <c r="K408" s="3">
        <f t="shared" si="24"/>
        <v>-1.398938514126017E-2</v>
      </c>
      <c r="L408" s="3">
        <f t="shared" si="23"/>
        <v>1.2349492153030267E-3</v>
      </c>
      <c r="M408" s="3">
        <f t="shared" si="23"/>
        <v>-8.9206657583796017E-3</v>
      </c>
      <c r="N408" s="3">
        <f t="shared" si="23"/>
        <v>2.4880404548013993E-4</v>
      </c>
    </row>
    <row r="409" spans="1:14" x14ac:dyDescent="0.3">
      <c r="A409" s="2">
        <v>45436</v>
      </c>
      <c r="B409" s="3">
        <v>189.98</v>
      </c>
      <c r="C409" s="3">
        <v>106.47</v>
      </c>
      <c r="D409" s="3">
        <v>179.24</v>
      </c>
      <c r="E409" s="3">
        <v>32.369999999999997</v>
      </c>
      <c r="F409" s="3">
        <v>33.78</v>
      </c>
      <c r="G409" s="4">
        <v>5304.72</v>
      </c>
      <c r="I409" s="3">
        <f t="shared" si="24"/>
        <v>1.6452103822174123E-2</v>
      </c>
      <c r="J409" s="3">
        <f t="shared" si="24"/>
        <v>2.5397284594726528E-2</v>
      </c>
      <c r="K409" s="3">
        <f t="shared" si="24"/>
        <v>3.1165761086167761E-2</v>
      </c>
      <c r="L409" s="3">
        <f t="shared" si="23"/>
        <v>1.7451362177100121E-2</v>
      </c>
      <c r="M409" s="3">
        <f t="shared" si="23"/>
        <v>8.3234725486332622E-3</v>
      </c>
      <c r="N409" s="3">
        <f t="shared" si="23"/>
        <v>6.9765789150719763E-3</v>
      </c>
    </row>
    <row r="410" spans="1:14" x14ac:dyDescent="0.3">
      <c r="A410" s="2">
        <v>45435</v>
      </c>
      <c r="B410" s="3">
        <v>186.88</v>
      </c>
      <c r="C410" s="3">
        <v>103.8</v>
      </c>
      <c r="D410" s="3">
        <v>173.74</v>
      </c>
      <c r="E410" s="3">
        <v>31.81</v>
      </c>
      <c r="F410" s="3">
        <v>33.5</v>
      </c>
      <c r="G410" s="4">
        <v>5267.84</v>
      </c>
      <c r="I410" s="3">
        <f t="shared" si="24"/>
        <v>-2.1283031091839801E-2</v>
      </c>
      <c r="J410" s="3">
        <f t="shared" si="24"/>
        <v>8.9115533473493408E-2</v>
      </c>
      <c r="K410" s="3">
        <f t="shared" si="24"/>
        <v>-3.6007846517191675E-2</v>
      </c>
      <c r="L410" s="3">
        <f t="shared" si="23"/>
        <v>-8.7637493607128636E-3</v>
      </c>
      <c r="M410" s="3">
        <f t="shared" si="23"/>
        <v>-1.5109160188083254E-2</v>
      </c>
      <c r="N410" s="3">
        <f t="shared" si="23"/>
        <v>-7.4081767856449404E-3</v>
      </c>
    </row>
    <row r="411" spans="1:14" x14ac:dyDescent="0.3">
      <c r="A411" s="2">
        <v>45434</v>
      </c>
      <c r="B411" s="3">
        <v>190.9</v>
      </c>
      <c r="C411" s="3">
        <v>94.95</v>
      </c>
      <c r="D411" s="3">
        <v>180.11</v>
      </c>
      <c r="E411" s="3">
        <v>32.090000000000003</v>
      </c>
      <c r="F411" s="3">
        <v>34.01</v>
      </c>
      <c r="G411" s="4">
        <v>5307.01</v>
      </c>
      <c r="I411" s="3">
        <f t="shared" si="24"/>
        <v>-7.5668984666021327E-3</v>
      </c>
      <c r="J411" s="3">
        <f t="shared" si="24"/>
        <v>-4.62331389882179E-3</v>
      </c>
      <c r="K411" s="3">
        <f t="shared" si="24"/>
        <v>-3.5399513064277216E-2</v>
      </c>
      <c r="L411" s="3">
        <f t="shared" si="23"/>
        <v>-2.8568983370216405E-2</v>
      </c>
      <c r="M411" s="3">
        <f t="shared" si="23"/>
        <v>2.8028072025402643E-2</v>
      </c>
      <c r="N411" s="3">
        <f t="shared" si="23"/>
        <v>-2.7097176835470336E-3</v>
      </c>
    </row>
    <row r="412" spans="1:14" x14ac:dyDescent="0.3">
      <c r="A412" s="2">
        <v>45433</v>
      </c>
      <c r="B412" s="3">
        <v>192.35</v>
      </c>
      <c r="C412" s="3">
        <v>95.39</v>
      </c>
      <c r="D412" s="3">
        <v>186.6</v>
      </c>
      <c r="E412" s="3">
        <v>33.020000000000003</v>
      </c>
      <c r="F412" s="3">
        <v>33.07</v>
      </c>
      <c r="G412" s="4">
        <v>5321.41</v>
      </c>
      <c r="I412" s="3">
        <f t="shared" si="24"/>
        <v>6.8337989940669263E-3</v>
      </c>
      <c r="J412" s="3">
        <f t="shared" si="24"/>
        <v>6.4153346176745478E-3</v>
      </c>
      <c r="K412" s="3">
        <f t="shared" si="24"/>
        <v>6.4467069599546456E-2</v>
      </c>
      <c r="L412" s="3">
        <f t="shared" si="23"/>
        <v>-2.7219130671728101E-3</v>
      </c>
      <c r="M412" s="3">
        <f t="shared" si="23"/>
        <v>-1.0228729374963602E-2</v>
      </c>
      <c r="N412" s="3">
        <f t="shared" si="23"/>
        <v>2.498698327390512E-3</v>
      </c>
    </row>
    <row r="413" spans="1:14" x14ac:dyDescent="0.3">
      <c r="A413" s="2">
        <v>45432</v>
      </c>
      <c r="B413" s="3">
        <v>191.04</v>
      </c>
      <c r="C413" s="3">
        <v>94.78</v>
      </c>
      <c r="D413" s="3">
        <v>174.95</v>
      </c>
      <c r="E413" s="3">
        <v>33.11</v>
      </c>
      <c r="F413" s="3">
        <v>33.409999999999997</v>
      </c>
      <c r="G413" s="4">
        <v>5308.13</v>
      </c>
      <c r="I413" s="3">
        <f t="shared" si="24"/>
        <v>6.1432027489136277E-3</v>
      </c>
      <c r="J413" s="3">
        <f t="shared" si="24"/>
        <v>2.456601161537485E-2</v>
      </c>
      <c r="K413" s="3">
        <f t="shared" si="24"/>
        <v>-1.4245012593494734E-2</v>
      </c>
      <c r="L413" s="3">
        <f t="shared" si="23"/>
        <v>-1.0515343999523008E-2</v>
      </c>
      <c r="M413" s="3">
        <f t="shared" si="23"/>
        <v>-3.2870192452173741E-3</v>
      </c>
      <c r="N413" s="3">
        <f t="shared" si="23"/>
        <v>9.159960683443537E-4</v>
      </c>
    </row>
    <row r="414" spans="1:14" x14ac:dyDescent="0.3">
      <c r="A414" s="2">
        <v>45429</v>
      </c>
      <c r="B414" s="3">
        <v>189.87</v>
      </c>
      <c r="C414" s="3">
        <v>92.48</v>
      </c>
      <c r="D414" s="3">
        <v>177.46</v>
      </c>
      <c r="E414" s="3">
        <v>33.46</v>
      </c>
      <c r="F414" s="3">
        <v>33.520000000000003</v>
      </c>
      <c r="G414" s="4">
        <v>5303.27</v>
      </c>
      <c r="I414" s="3">
        <f t="shared" si="24"/>
        <v>1.5801532781546361E-4</v>
      </c>
      <c r="J414" s="3">
        <f t="shared" si="24"/>
        <v>-2.0124849615406851E-2</v>
      </c>
      <c r="K414" s="3">
        <f t="shared" si="24"/>
        <v>1.4873961412078061E-2</v>
      </c>
      <c r="L414" s="3">
        <f t="shared" si="23"/>
        <v>1.3237257066695906E-2</v>
      </c>
      <c r="M414" s="3">
        <f t="shared" si="23"/>
        <v>-1.2157303182256409E-2</v>
      </c>
      <c r="N414" s="3">
        <f t="shared" si="23"/>
        <v>1.1641104408194052E-3</v>
      </c>
    </row>
    <row r="415" spans="1:14" x14ac:dyDescent="0.3">
      <c r="A415" s="2">
        <v>45428</v>
      </c>
      <c r="B415" s="3">
        <v>189.84</v>
      </c>
      <c r="C415" s="3">
        <v>94.36</v>
      </c>
      <c r="D415" s="3">
        <v>174.84</v>
      </c>
      <c r="E415" s="3">
        <v>33.020000000000003</v>
      </c>
      <c r="F415" s="3">
        <v>33.93</v>
      </c>
      <c r="G415" s="4">
        <v>5297.1</v>
      </c>
      <c r="I415" s="3">
        <f t="shared" si="24"/>
        <v>6.3231111812725633E-4</v>
      </c>
      <c r="J415" s="3">
        <f t="shared" si="24"/>
        <v>-2.8572959806669506E-3</v>
      </c>
      <c r="K415" s="3">
        <f t="shared" si="24"/>
        <v>4.8734436964889671E-3</v>
      </c>
      <c r="L415" s="3">
        <f t="shared" si="23"/>
        <v>2.7293421037091919E-3</v>
      </c>
      <c r="M415" s="3">
        <f t="shared" si="23"/>
        <v>2.6560440581162104E-3</v>
      </c>
      <c r="N415" s="3">
        <f t="shared" si="23"/>
        <v>-2.08387430730016E-3</v>
      </c>
    </row>
    <row r="416" spans="1:14" x14ac:dyDescent="0.3">
      <c r="A416" s="2">
        <v>45427</v>
      </c>
      <c r="B416" s="3">
        <v>189.72</v>
      </c>
      <c r="C416" s="3">
        <v>94.63</v>
      </c>
      <c r="D416" s="3">
        <v>173.99</v>
      </c>
      <c r="E416" s="3">
        <v>32.93</v>
      </c>
      <c r="F416" s="3">
        <v>33.840000000000003</v>
      </c>
      <c r="G416" s="4">
        <v>5308.15</v>
      </c>
      <c r="I416" s="3">
        <f t="shared" si="24"/>
        <v>1.2143858638487333E-2</v>
      </c>
      <c r="J416" s="3">
        <f t="shared" si="24"/>
        <v>3.5166804612441198E-2</v>
      </c>
      <c r="K416" s="3">
        <f t="shared" si="24"/>
        <v>-2.0254433090472083E-2</v>
      </c>
      <c r="L416" s="3">
        <f t="shared" si="23"/>
        <v>9.1519857830436695E-3</v>
      </c>
      <c r="M416" s="3">
        <f t="shared" si="23"/>
        <v>-2.6560440581161848E-3</v>
      </c>
      <c r="N416" s="3">
        <f t="shared" si="23"/>
        <v>1.1647879688045933E-2</v>
      </c>
    </row>
    <row r="417" spans="1:14" x14ac:dyDescent="0.3">
      <c r="A417" s="2">
        <v>45426</v>
      </c>
      <c r="B417" s="3">
        <v>187.43</v>
      </c>
      <c r="C417" s="3">
        <v>91.36</v>
      </c>
      <c r="D417" s="3">
        <v>177.55</v>
      </c>
      <c r="E417" s="3">
        <v>32.630000000000003</v>
      </c>
      <c r="F417" s="3">
        <v>33.93</v>
      </c>
      <c r="G417" s="4">
        <v>5246.68</v>
      </c>
      <c r="I417" s="3">
        <f t="shared" si="24"/>
        <v>6.1545242567172895E-3</v>
      </c>
      <c r="J417" s="3">
        <f t="shared" si="24"/>
        <v>1.0563478509569246E-2</v>
      </c>
      <c r="K417" s="3">
        <f t="shared" si="24"/>
        <v>3.2397522049031562E-2</v>
      </c>
      <c r="L417" s="3">
        <f t="shared" si="23"/>
        <v>6.7650934517733772E-3</v>
      </c>
      <c r="M417" s="3">
        <f t="shared" si="23"/>
        <v>-1.7239287419088489E-2</v>
      </c>
      <c r="N417" s="3">
        <f t="shared" si="23"/>
        <v>4.8261000617198218E-3</v>
      </c>
    </row>
    <row r="418" spans="1:14" x14ac:dyDescent="0.3">
      <c r="A418" s="2">
        <v>45425</v>
      </c>
      <c r="B418" s="3">
        <v>186.28</v>
      </c>
      <c r="C418" s="3">
        <v>90.4</v>
      </c>
      <c r="D418" s="3">
        <v>171.89</v>
      </c>
      <c r="E418" s="3">
        <v>32.409999999999997</v>
      </c>
      <c r="F418" s="3">
        <v>34.520000000000003</v>
      </c>
      <c r="G418" s="4">
        <v>5221.42</v>
      </c>
      <c r="I418" s="3">
        <f t="shared" si="24"/>
        <v>1.7491578547931153E-2</v>
      </c>
      <c r="J418" s="3">
        <f t="shared" si="24"/>
        <v>5.7688200810025346E-3</v>
      </c>
      <c r="K418" s="3">
        <f t="shared" si="24"/>
        <v>2.0097044941952816E-2</v>
      </c>
      <c r="L418" s="3">
        <f t="shared" si="23"/>
        <v>2.1621630044950956E-3</v>
      </c>
      <c r="M418" s="3">
        <f t="shared" si="23"/>
        <v>4.0638662605239602E-3</v>
      </c>
      <c r="N418" s="3">
        <f t="shared" si="23"/>
        <v>-2.4128455417182781E-4</v>
      </c>
    </row>
    <row r="419" spans="1:14" x14ac:dyDescent="0.3">
      <c r="A419" s="2">
        <v>45422</v>
      </c>
      <c r="B419" s="3">
        <v>183.05</v>
      </c>
      <c r="C419" s="3">
        <v>89.88</v>
      </c>
      <c r="D419" s="3">
        <v>168.47</v>
      </c>
      <c r="E419" s="3">
        <v>32.340000000000003</v>
      </c>
      <c r="F419" s="3">
        <v>34.380000000000003</v>
      </c>
      <c r="G419" s="4">
        <v>5222.68</v>
      </c>
      <c r="I419" s="3">
        <f t="shared" si="24"/>
        <v>-8.2694557529546277E-3</v>
      </c>
      <c r="J419" s="3">
        <f t="shared" si="24"/>
        <v>1.2652018961603279E-2</v>
      </c>
      <c r="K419" s="3">
        <f t="shared" si="24"/>
        <v>-2.0562350597995414E-2</v>
      </c>
      <c r="L419" s="3">
        <f t="shared" si="23"/>
        <v>-1.351371916672282E-2</v>
      </c>
      <c r="M419" s="3">
        <f t="shared" si="23"/>
        <v>-3.484324082610811E-3</v>
      </c>
      <c r="N419" s="3">
        <f t="shared" si="23"/>
        <v>1.6480214063461682E-3</v>
      </c>
    </row>
    <row r="420" spans="1:14" x14ac:dyDescent="0.3">
      <c r="A420" s="2">
        <v>45421</v>
      </c>
      <c r="B420" s="3">
        <v>184.57</v>
      </c>
      <c r="C420" s="3">
        <v>88.75</v>
      </c>
      <c r="D420" s="3">
        <v>171.97</v>
      </c>
      <c r="E420" s="3">
        <v>32.78</v>
      </c>
      <c r="F420" s="3">
        <v>34.5</v>
      </c>
      <c r="G420" s="4">
        <v>5214.08</v>
      </c>
      <c r="I420" s="3">
        <f t="shared" si="24"/>
        <v>9.9644177487252465E-3</v>
      </c>
      <c r="J420" s="3">
        <f t="shared" si="24"/>
        <v>-1.8531452393749839E-2</v>
      </c>
      <c r="K420" s="3">
        <f t="shared" si="24"/>
        <v>-1.5864649560432108E-2</v>
      </c>
      <c r="L420" s="3">
        <f t="shared" si="23"/>
        <v>2.7212563524884794E-2</v>
      </c>
      <c r="M420" s="3">
        <f t="shared" si="23"/>
        <v>8.1490555732666621E-3</v>
      </c>
      <c r="N420" s="3">
        <f t="shared" si="23"/>
        <v>5.0780025958913483E-3</v>
      </c>
    </row>
    <row r="421" spans="1:14" x14ac:dyDescent="0.3">
      <c r="A421" s="2">
        <v>45420</v>
      </c>
      <c r="B421" s="3">
        <v>182.74</v>
      </c>
      <c r="C421" s="3">
        <v>90.41</v>
      </c>
      <c r="D421" s="3">
        <v>174.72</v>
      </c>
      <c r="E421" s="3">
        <v>31.9</v>
      </c>
      <c r="F421" s="3">
        <v>34.22</v>
      </c>
      <c r="G421" s="4">
        <v>5187.67</v>
      </c>
      <c r="I421" s="3">
        <f t="shared" si="24"/>
        <v>1.8622999302434699E-3</v>
      </c>
      <c r="J421" s="3">
        <f t="shared" si="24"/>
        <v>-1.5473035801473439E-3</v>
      </c>
      <c r="K421" s="3">
        <f t="shared" si="24"/>
        <v>-1.75308719113163E-2</v>
      </c>
      <c r="L421" s="3">
        <f t="shared" si="23"/>
        <v>-7.4953505185676736E-3</v>
      </c>
      <c r="M421" s="3">
        <f t="shared" si="23"/>
        <v>7.6269070209006862E-3</v>
      </c>
      <c r="N421" s="3">
        <f t="shared" si="23"/>
        <v>-5.7829262956225704E-6</v>
      </c>
    </row>
    <row r="422" spans="1:14" x14ac:dyDescent="0.3">
      <c r="A422" s="2">
        <v>45419</v>
      </c>
      <c r="B422" s="3">
        <v>182.4</v>
      </c>
      <c r="C422" s="3">
        <v>90.55</v>
      </c>
      <c r="D422" s="3">
        <v>177.81</v>
      </c>
      <c r="E422" s="3">
        <v>32.14</v>
      </c>
      <c r="F422" s="3">
        <v>33.96</v>
      </c>
      <c r="G422" s="4">
        <v>5187.7</v>
      </c>
      <c r="I422" s="3">
        <f t="shared" si="24"/>
        <v>3.7900679792654901E-3</v>
      </c>
      <c r="J422" s="3">
        <f t="shared" si="24"/>
        <v>-1.7406975178348535E-2</v>
      </c>
      <c r="K422" s="3">
        <f t="shared" si="24"/>
        <v>-3.8342121094548112E-2</v>
      </c>
      <c r="L422" s="3">
        <f t="shared" si="23"/>
        <v>4.3654575096399983E-3</v>
      </c>
      <c r="M422" s="3">
        <f t="shared" si="23"/>
        <v>8.2791720690207262E-3</v>
      </c>
      <c r="N422" s="3">
        <f t="shared" si="23"/>
        <v>1.3425358193505205E-3</v>
      </c>
    </row>
    <row r="423" spans="1:14" x14ac:dyDescent="0.3">
      <c r="A423" s="2">
        <v>45418</v>
      </c>
      <c r="B423" s="3">
        <v>181.71</v>
      </c>
      <c r="C423" s="3">
        <v>92.14</v>
      </c>
      <c r="D423" s="3">
        <v>184.76</v>
      </c>
      <c r="E423" s="3">
        <v>32</v>
      </c>
      <c r="F423" s="3">
        <v>33.68</v>
      </c>
      <c r="G423" s="4">
        <v>5180.74</v>
      </c>
      <c r="I423" s="3">
        <f t="shared" si="24"/>
        <v>-9.1484929607891334E-3</v>
      </c>
      <c r="J423" s="3">
        <f t="shared" si="24"/>
        <v>3.7035128463535398E-2</v>
      </c>
      <c r="K423" s="3">
        <f t="shared" si="24"/>
        <v>1.9511481114388544E-2</v>
      </c>
      <c r="L423" s="3">
        <f t="shared" si="23"/>
        <v>2.5031302181184748E-3</v>
      </c>
      <c r="M423" s="3">
        <f t="shared" si="23"/>
        <v>-5.0348099841581069E-3</v>
      </c>
      <c r="N423" s="3">
        <f t="shared" si="23"/>
        <v>1.0273136069376812E-2</v>
      </c>
    </row>
    <row r="424" spans="1:14" x14ac:dyDescent="0.3">
      <c r="A424" s="2">
        <v>45415</v>
      </c>
      <c r="B424" s="3">
        <v>183.38</v>
      </c>
      <c r="C424" s="3">
        <v>88.79</v>
      </c>
      <c r="D424" s="3">
        <v>181.19</v>
      </c>
      <c r="E424" s="3">
        <v>31.92</v>
      </c>
      <c r="F424" s="3">
        <v>33.85</v>
      </c>
      <c r="G424" s="4">
        <v>5127.79</v>
      </c>
      <c r="I424" s="3">
        <f t="shared" si="24"/>
        <v>5.8095512753197624E-2</v>
      </c>
      <c r="J424" s="3">
        <f t="shared" si="24"/>
        <v>3.4021951480856932E-2</v>
      </c>
      <c r="K424" s="3">
        <f t="shared" si="24"/>
        <v>6.5337995454030507E-3</v>
      </c>
      <c r="L424" s="3">
        <f t="shared" si="23"/>
        <v>-3.1323414508256371E-4</v>
      </c>
      <c r="M424" s="3">
        <f t="shared" si="23"/>
        <v>8.3061883663404987E-3</v>
      </c>
      <c r="N424" s="3">
        <f t="shared" si="23"/>
        <v>1.247858860899914E-2</v>
      </c>
    </row>
    <row r="425" spans="1:14" x14ac:dyDescent="0.3">
      <c r="A425" s="2">
        <v>45414</v>
      </c>
      <c r="B425" s="3">
        <v>173.03</v>
      </c>
      <c r="C425" s="3">
        <v>85.82</v>
      </c>
      <c r="D425" s="3">
        <v>180.01</v>
      </c>
      <c r="E425" s="3">
        <v>31.93</v>
      </c>
      <c r="F425" s="3">
        <v>33.57</v>
      </c>
      <c r="G425" s="4">
        <v>5064.2</v>
      </c>
      <c r="I425" s="3">
        <f t="shared" si="24"/>
        <v>2.1792700729467398E-2</v>
      </c>
      <c r="J425" s="3">
        <f t="shared" si="24"/>
        <v>3.2929660145800087E-2</v>
      </c>
      <c r="K425" s="3">
        <f t="shared" si="24"/>
        <v>1.1111111122521166E-4</v>
      </c>
      <c r="L425" s="3">
        <f t="shared" si="23"/>
        <v>1.2535257047243389E-3</v>
      </c>
      <c r="M425" s="3">
        <f t="shared" si="23"/>
        <v>1.1082935069500571E-2</v>
      </c>
      <c r="N425" s="3">
        <f t="shared" si="23"/>
        <v>9.0870134013374317E-3</v>
      </c>
    </row>
    <row r="426" spans="1:14" x14ac:dyDescent="0.3">
      <c r="A426" s="2">
        <v>45413</v>
      </c>
      <c r="B426" s="3">
        <v>169.3</v>
      </c>
      <c r="C426" s="3">
        <v>83.04</v>
      </c>
      <c r="D426" s="3">
        <v>179.99</v>
      </c>
      <c r="E426" s="3">
        <v>31.89</v>
      </c>
      <c r="F426" s="3">
        <v>33.200000000000003</v>
      </c>
      <c r="G426" s="4">
        <v>5018.3900000000003</v>
      </c>
      <c r="I426" s="3">
        <f t="shared" si="24"/>
        <v>-6.0654427333962507E-3</v>
      </c>
      <c r="J426" s="3">
        <f t="shared" si="24"/>
        <v>-3.9665256392431403E-2</v>
      </c>
      <c r="K426" s="3">
        <f t="shared" si="24"/>
        <v>-1.8113744353852251E-2</v>
      </c>
      <c r="L426" s="3">
        <f t="shared" si="23"/>
        <v>-2.263311617090152E-2</v>
      </c>
      <c r="M426" s="3">
        <f t="shared" si="23"/>
        <v>-6.0222826270580753E-4</v>
      </c>
      <c r="N426" s="3">
        <f t="shared" si="23"/>
        <v>-3.4413923648739225E-3</v>
      </c>
    </row>
    <row r="427" spans="1:14" x14ac:dyDescent="0.3">
      <c r="A427" s="2">
        <v>45412</v>
      </c>
      <c r="B427" s="3">
        <v>170.33</v>
      </c>
      <c r="C427" s="3">
        <v>86.4</v>
      </c>
      <c r="D427" s="3">
        <v>183.28</v>
      </c>
      <c r="E427" s="3">
        <v>32.619999999999997</v>
      </c>
      <c r="F427" s="3">
        <v>33.22</v>
      </c>
      <c r="G427" s="4">
        <v>5035.6899999999996</v>
      </c>
      <c r="I427" s="3">
        <f t="shared" si="24"/>
        <v>-1.8439867514427888E-2</v>
      </c>
      <c r="J427" s="3">
        <f t="shared" si="24"/>
        <v>-1.5618140156964883E-2</v>
      </c>
      <c r="K427" s="3">
        <f t="shared" si="24"/>
        <v>-5.7100819669675291E-2</v>
      </c>
      <c r="L427" s="3">
        <f t="shared" si="23"/>
        <v>-1.8226506992280993E-2</v>
      </c>
      <c r="M427" s="3">
        <f t="shared" si="23"/>
        <v>-2.1736749819556467E-2</v>
      </c>
      <c r="N427" s="3">
        <f t="shared" si="23"/>
        <v>-1.5855554753445709E-2</v>
      </c>
    </row>
    <row r="428" spans="1:14" x14ac:dyDescent="0.3">
      <c r="A428" s="2">
        <v>45411</v>
      </c>
      <c r="B428" s="3">
        <v>173.5</v>
      </c>
      <c r="C428" s="3">
        <v>87.76</v>
      </c>
      <c r="D428" s="3">
        <v>194.05</v>
      </c>
      <c r="E428" s="3">
        <v>33.22</v>
      </c>
      <c r="F428" s="3">
        <v>33.950000000000003</v>
      </c>
      <c r="G428" s="4">
        <v>5116.17</v>
      </c>
      <c r="I428" s="3">
        <f t="shared" si="24"/>
        <v>2.450531024782426E-2</v>
      </c>
      <c r="J428" s="3">
        <f t="shared" si="24"/>
        <v>2.2792022890710147E-4</v>
      </c>
      <c r="K428" s="3">
        <f t="shared" si="24"/>
        <v>0.14242717608993344</v>
      </c>
      <c r="L428" s="3">
        <f t="shared" si="23"/>
        <v>1.1504819600921187E-2</v>
      </c>
      <c r="M428" s="3">
        <f t="shared" si="23"/>
        <v>-1.1775097033194903E-3</v>
      </c>
      <c r="N428" s="3">
        <f t="shared" si="23"/>
        <v>3.1734156874775382E-3</v>
      </c>
    </row>
    <row r="429" spans="1:14" x14ac:dyDescent="0.3">
      <c r="A429" s="2">
        <v>45408</v>
      </c>
      <c r="B429" s="3">
        <v>169.3</v>
      </c>
      <c r="C429" s="3">
        <v>87.74</v>
      </c>
      <c r="D429" s="3">
        <v>168.29</v>
      </c>
      <c r="E429" s="3">
        <v>32.840000000000003</v>
      </c>
      <c r="F429" s="3">
        <v>33.99</v>
      </c>
      <c r="G429" s="4">
        <v>5099.96</v>
      </c>
      <c r="I429" s="3">
        <f t="shared" si="24"/>
        <v>-3.4788796547335459E-3</v>
      </c>
      <c r="J429" s="3">
        <f t="shared" si="24"/>
        <v>6.0005085024974966E-2</v>
      </c>
      <c r="K429" s="3">
        <f t="shared" si="24"/>
        <v>-1.1168018696429371E-2</v>
      </c>
      <c r="L429" s="3">
        <f t="shared" si="23"/>
        <v>-1.391011240217049E-2</v>
      </c>
      <c r="M429" s="3">
        <f t="shared" si="23"/>
        <v>-1.1761248047897194E-3</v>
      </c>
      <c r="N429" s="3">
        <f t="shared" si="23"/>
        <v>1.0157373516560254E-2</v>
      </c>
    </row>
    <row r="430" spans="1:14" x14ac:dyDescent="0.3">
      <c r="A430" s="2">
        <v>45407</v>
      </c>
      <c r="B430" s="3">
        <v>169.89</v>
      </c>
      <c r="C430" s="3">
        <v>82.63</v>
      </c>
      <c r="D430" s="3">
        <v>170.18</v>
      </c>
      <c r="E430" s="3">
        <v>33.299999999999997</v>
      </c>
      <c r="F430" s="3">
        <v>34.03</v>
      </c>
      <c r="G430" s="4">
        <v>5048.42</v>
      </c>
      <c r="I430" s="3">
        <f t="shared" si="24"/>
        <v>5.1341176774868519E-3</v>
      </c>
      <c r="J430" s="3">
        <f t="shared" si="24"/>
        <v>3.6354197436750162E-2</v>
      </c>
      <c r="K430" s="3">
        <f t="shared" si="24"/>
        <v>4.8458217859433557E-2</v>
      </c>
      <c r="L430" s="3">
        <f t="shared" si="23"/>
        <v>1.9100171373419215E-2</v>
      </c>
      <c r="M430" s="3">
        <f t="shared" si="23"/>
        <v>1.0635255339831305E-2</v>
      </c>
      <c r="N430" s="3">
        <f t="shared" si="23"/>
        <v>-4.5869419014574458E-3</v>
      </c>
    </row>
    <row r="431" spans="1:14" x14ac:dyDescent="0.3">
      <c r="A431" s="2">
        <v>45406</v>
      </c>
      <c r="B431" s="3">
        <v>169.02</v>
      </c>
      <c r="C431" s="3">
        <v>79.680000000000007</v>
      </c>
      <c r="D431" s="3">
        <v>162.13</v>
      </c>
      <c r="E431" s="3">
        <v>32.67</v>
      </c>
      <c r="F431" s="3">
        <v>33.67</v>
      </c>
      <c r="G431" s="4">
        <v>5071.63</v>
      </c>
      <c r="I431" s="3">
        <f t="shared" si="24"/>
        <v>1.2622220448546821E-2</v>
      </c>
      <c r="J431" s="3">
        <f t="shared" si="24"/>
        <v>-3.3809512634328444E-2</v>
      </c>
      <c r="K431" s="3">
        <f t="shared" si="24"/>
        <v>0.11387407547808058</v>
      </c>
      <c r="L431" s="3">
        <f t="shared" si="23"/>
        <v>-1.0050335853501338E-2</v>
      </c>
      <c r="M431" s="3">
        <f t="shared" si="23"/>
        <v>-3.0708656619166219E-2</v>
      </c>
      <c r="N431" s="3">
        <f t="shared" si="23"/>
        <v>2.1297196541228134E-4</v>
      </c>
    </row>
    <row r="432" spans="1:14" x14ac:dyDescent="0.3">
      <c r="A432" s="2">
        <v>45405</v>
      </c>
      <c r="B432" s="3">
        <v>166.9</v>
      </c>
      <c r="C432" s="3">
        <v>82.42</v>
      </c>
      <c r="D432" s="3">
        <v>144.68</v>
      </c>
      <c r="E432" s="3">
        <v>33</v>
      </c>
      <c r="F432" s="3">
        <v>34.72</v>
      </c>
      <c r="G432" s="4">
        <v>5070.55</v>
      </c>
      <c r="I432" s="3">
        <f t="shared" si="24"/>
        <v>6.3713625402651809E-3</v>
      </c>
      <c r="J432" s="3">
        <f t="shared" si="24"/>
        <v>3.5819563562352781E-2</v>
      </c>
      <c r="K432" s="3">
        <f t="shared" si="24"/>
        <v>1.8345298783700146E-2</v>
      </c>
      <c r="L432" s="3">
        <f t="shared" si="23"/>
        <v>1.649899938003507E-2</v>
      </c>
      <c r="M432" s="3">
        <f t="shared" si="23"/>
        <v>2.8843400440863496E-3</v>
      </c>
      <c r="N432" s="3">
        <f t="shared" si="23"/>
        <v>1.1893624576650831E-2</v>
      </c>
    </row>
    <row r="433" spans="1:14" x14ac:dyDescent="0.3">
      <c r="A433" s="2">
        <v>45404</v>
      </c>
      <c r="B433" s="3">
        <v>165.84</v>
      </c>
      <c r="C433" s="3">
        <v>79.52</v>
      </c>
      <c r="D433" s="3">
        <v>142.05000000000001</v>
      </c>
      <c r="E433" s="3">
        <v>32.46</v>
      </c>
      <c r="F433" s="3">
        <v>34.619999999999997</v>
      </c>
      <c r="G433" s="4">
        <v>5010.6000000000004</v>
      </c>
      <c r="I433" s="3">
        <f t="shared" si="24"/>
        <v>5.0779942269434828E-3</v>
      </c>
      <c r="J433" s="3">
        <f t="shared" si="24"/>
        <v>4.2647099655717835E-2</v>
      </c>
      <c r="K433" s="3">
        <f t="shared" si="24"/>
        <v>-3.459355669980712E-2</v>
      </c>
      <c r="L433" s="3">
        <f t="shared" si="23"/>
        <v>-4.3037262862167802E-3</v>
      </c>
      <c r="M433" s="3">
        <f t="shared" si="23"/>
        <v>8.1206942787336121E-3</v>
      </c>
      <c r="N433" s="3">
        <f t="shared" si="23"/>
        <v>8.6933277348877659E-3</v>
      </c>
    </row>
    <row r="434" spans="1:14" x14ac:dyDescent="0.3">
      <c r="A434" s="2">
        <v>45401</v>
      </c>
      <c r="B434" s="3">
        <v>165</v>
      </c>
      <c r="C434" s="3">
        <v>76.2</v>
      </c>
      <c r="D434" s="3">
        <v>147.05000000000001</v>
      </c>
      <c r="E434" s="3">
        <v>32.6</v>
      </c>
      <c r="F434" s="3">
        <v>34.340000000000003</v>
      </c>
      <c r="G434" s="4">
        <v>4967.2299999999996</v>
      </c>
      <c r="I434" s="3">
        <f t="shared" si="24"/>
        <v>-1.2287830793693253E-2</v>
      </c>
      <c r="J434" s="3">
        <f t="shared" si="24"/>
        <v>-0.10539988496158519</v>
      </c>
      <c r="K434" s="3">
        <f t="shared" si="24"/>
        <v>-1.939585350680777E-2</v>
      </c>
      <c r="L434" s="3">
        <f t="shared" si="23"/>
        <v>1.2345835822299362E-2</v>
      </c>
      <c r="M434" s="3">
        <f t="shared" si="23"/>
        <v>-1.4549689748452339E-3</v>
      </c>
      <c r="N434" s="3">
        <f t="shared" si="23"/>
        <v>-8.7971023365461913E-3</v>
      </c>
    </row>
    <row r="435" spans="1:14" x14ac:dyDescent="0.3">
      <c r="A435" s="2">
        <v>45400</v>
      </c>
      <c r="B435" s="3">
        <v>167.04</v>
      </c>
      <c r="C435" s="3">
        <v>84.67</v>
      </c>
      <c r="D435" s="3">
        <v>149.93</v>
      </c>
      <c r="E435" s="3">
        <v>32.200000000000003</v>
      </c>
      <c r="F435" s="3">
        <v>34.39</v>
      </c>
      <c r="G435" s="4">
        <v>5011.12</v>
      </c>
      <c r="I435" s="3">
        <f t="shared" si="24"/>
        <v>-5.7306747089850953E-3</v>
      </c>
      <c r="J435" s="3">
        <f t="shared" si="24"/>
        <v>7.4684716773862157E-3</v>
      </c>
      <c r="K435" s="3">
        <f t="shared" si="24"/>
        <v>-3.6155617997950966E-2</v>
      </c>
      <c r="L435" s="3">
        <f t="shared" si="23"/>
        <v>5.6057449817940325E-3</v>
      </c>
      <c r="M435" s="3">
        <f t="shared" si="23"/>
        <v>6.7104555238059254E-3</v>
      </c>
      <c r="N435" s="3">
        <f t="shared" si="23"/>
        <v>-2.2106328639260849E-3</v>
      </c>
    </row>
    <row r="436" spans="1:14" x14ac:dyDescent="0.3">
      <c r="A436" s="2">
        <v>45399</v>
      </c>
      <c r="B436" s="3">
        <v>168</v>
      </c>
      <c r="C436" s="3">
        <v>84.04</v>
      </c>
      <c r="D436" s="3">
        <v>155.44999999999999</v>
      </c>
      <c r="E436" s="3">
        <v>32.020000000000003</v>
      </c>
      <c r="F436" s="3">
        <v>34.159999999999997</v>
      </c>
      <c r="G436" s="4">
        <v>5022.21</v>
      </c>
      <c r="I436" s="3">
        <f t="shared" si="24"/>
        <v>-8.1807320901940254E-3</v>
      </c>
      <c r="J436" s="3">
        <f t="shared" si="24"/>
        <v>-3.9431213458368704E-2</v>
      </c>
      <c r="K436" s="3">
        <f t="shared" si="24"/>
        <v>-1.0622060454743306E-2</v>
      </c>
      <c r="L436" s="3">
        <f t="shared" si="23"/>
        <v>-2.4953225674015089E-3</v>
      </c>
      <c r="M436" s="3">
        <f t="shared" si="23"/>
        <v>-1.9710783063933111E-2</v>
      </c>
      <c r="N436" s="3">
        <f t="shared" si="23"/>
        <v>-5.797336366096615E-3</v>
      </c>
    </row>
    <row r="437" spans="1:14" x14ac:dyDescent="0.3">
      <c r="A437" s="2">
        <v>45398</v>
      </c>
      <c r="B437" s="3">
        <v>169.38</v>
      </c>
      <c r="C437" s="3">
        <v>87.42</v>
      </c>
      <c r="D437" s="3">
        <v>157.11000000000001</v>
      </c>
      <c r="E437" s="3">
        <v>32.1</v>
      </c>
      <c r="F437" s="3">
        <v>34.840000000000003</v>
      </c>
      <c r="G437" s="4">
        <v>5051.41</v>
      </c>
      <c r="I437" s="3">
        <f t="shared" si="24"/>
        <v>-1.935336810312574E-2</v>
      </c>
      <c r="J437" s="3">
        <f t="shared" si="24"/>
        <v>1.6376793181660788E-2</v>
      </c>
      <c r="K437" s="3">
        <f t="shared" si="24"/>
        <v>-2.7435099025233882E-2</v>
      </c>
      <c r="L437" s="3">
        <f t="shared" si="23"/>
        <v>-1.0844413014128853E-2</v>
      </c>
      <c r="M437" s="3">
        <f t="shared" si="23"/>
        <v>-8.5739307746490138E-3</v>
      </c>
      <c r="N437" s="3">
        <f t="shared" si="23"/>
        <v>-2.0586901863485071E-3</v>
      </c>
    </row>
    <row r="438" spans="1:14" x14ac:dyDescent="0.3">
      <c r="A438" s="2">
        <v>45397</v>
      </c>
      <c r="B438" s="3">
        <v>172.69</v>
      </c>
      <c r="C438" s="3">
        <v>86</v>
      </c>
      <c r="D438" s="3">
        <v>161.47999999999999</v>
      </c>
      <c r="E438" s="3">
        <v>32.450000000000003</v>
      </c>
      <c r="F438" s="3">
        <v>35.14</v>
      </c>
      <c r="G438" s="4">
        <v>5061.82</v>
      </c>
      <c r="I438" s="3">
        <f t="shared" si="24"/>
        <v>-2.2106042777816807E-2</v>
      </c>
      <c r="J438" s="3">
        <f t="shared" si="24"/>
        <v>-2.5146281646581704E-2</v>
      </c>
      <c r="K438" s="3">
        <f t="shared" si="24"/>
        <v>-5.7574615438873752E-2</v>
      </c>
      <c r="L438" s="3">
        <f t="shared" si="23"/>
        <v>-1.8321123147596131E-2</v>
      </c>
      <c r="M438" s="3">
        <f t="shared" si="23"/>
        <v>-5.67538413259926E-3</v>
      </c>
      <c r="N438" s="3">
        <f t="shared" si="23"/>
        <v>-1.2094130563305876E-2</v>
      </c>
    </row>
    <row r="439" spans="1:14" x14ac:dyDescent="0.3">
      <c r="A439" s="2">
        <v>45394</v>
      </c>
      <c r="B439" s="3">
        <v>176.55</v>
      </c>
      <c r="C439" s="3">
        <v>88.19</v>
      </c>
      <c r="D439" s="3">
        <v>171.05</v>
      </c>
      <c r="E439" s="3">
        <v>33.049999999999997</v>
      </c>
      <c r="F439" s="3">
        <v>35.340000000000003</v>
      </c>
      <c r="G439" s="4">
        <v>5123.41</v>
      </c>
      <c r="I439" s="3">
        <f t="shared" si="24"/>
        <v>8.5896031407790355E-3</v>
      </c>
      <c r="J439" s="3">
        <f t="shared" si="24"/>
        <v>-2.7181361338902834E-2</v>
      </c>
      <c r="K439" s="3">
        <f t="shared" si="24"/>
        <v>-2.0541731981888071E-2</v>
      </c>
      <c r="L439" s="3">
        <f t="shared" si="23"/>
        <v>-2.8044797410329465E-2</v>
      </c>
      <c r="M439" s="3">
        <f t="shared" si="23"/>
        <v>-2.5434519858301445E-3</v>
      </c>
      <c r="N439" s="3">
        <f t="shared" si="23"/>
        <v>-1.4657607029448559E-2</v>
      </c>
    </row>
    <row r="440" spans="1:14" x14ac:dyDescent="0.3">
      <c r="A440" s="2">
        <v>45393</v>
      </c>
      <c r="B440" s="3">
        <v>175.04</v>
      </c>
      <c r="C440" s="3">
        <v>90.62</v>
      </c>
      <c r="D440" s="3">
        <v>174.6</v>
      </c>
      <c r="E440" s="3">
        <v>33.99</v>
      </c>
      <c r="F440" s="3">
        <v>35.43</v>
      </c>
      <c r="G440" s="4">
        <v>5199.0600000000004</v>
      </c>
      <c r="I440" s="3">
        <f t="shared" si="24"/>
        <v>4.2360921815467849E-2</v>
      </c>
      <c r="J440" s="3">
        <f t="shared" si="24"/>
        <v>4.0307156131359545E-2</v>
      </c>
      <c r="K440" s="3">
        <f t="shared" si="24"/>
        <v>1.6399489834976251E-2</v>
      </c>
      <c r="L440" s="3">
        <f t="shared" si="23"/>
        <v>-4.696222308774387E-3</v>
      </c>
      <c r="M440" s="3">
        <f t="shared" si="23"/>
        <v>5.6465275356827626E-4</v>
      </c>
      <c r="N440" s="3">
        <f t="shared" si="23"/>
        <v>7.4172372058720279E-3</v>
      </c>
    </row>
    <row r="441" spans="1:14" x14ac:dyDescent="0.3">
      <c r="A441" s="2">
        <v>45392</v>
      </c>
      <c r="B441" s="3">
        <v>167.78</v>
      </c>
      <c r="C441" s="3">
        <v>87.04</v>
      </c>
      <c r="D441" s="3">
        <v>171.76</v>
      </c>
      <c r="E441" s="3">
        <v>34.15</v>
      </c>
      <c r="F441" s="3">
        <v>35.409999999999997</v>
      </c>
      <c r="G441" s="4">
        <v>5160.6400000000003</v>
      </c>
      <c r="I441" s="3">
        <f t="shared" si="24"/>
        <v>-1.120177663669957E-2</v>
      </c>
      <c r="J441" s="3">
        <f t="shared" si="24"/>
        <v>1.9607333867182976E-2</v>
      </c>
      <c r="K441" s="3">
        <f t="shared" si="24"/>
        <v>-2.9373382978665246E-2</v>
      </c>
      <c r="L441" s="3">
        <f t="shared" si="23"/>
        <v>-1.1706176344108764E-3</v>
      </c>
      <c r="M441" s="3">
        <f t="shared" si="23"/>
        <v>-1.513481804324348E-2</v>
      </c>
      <c r="N441" s="3">
        <f t="shared" si="23"/>
        <v>-9.5019783338873547E-3</v>
      </c>
    </row>
    <row r="442" spans="1:14" x14ac:dyDescent="0.3">
      <c r="A442" s="2">
        <v>45391</v>
      </c>
      <c r="B442" s="3">
        <v>169.67</v>
      </c>
      <c r="C442" s="3">
        <v>85.35</v>
      </c>
      <c r="D442" s="3">
        <v>176.88</v>
      </c>
      <c r="E442" s="3">
        <v>34.19</v>
      </c>
      <c r="F442" s="3">
        <v>35.950000000000003</v>
      </c>
      <c r="G442" s="4">
        <v>5209.91</v>
      </c>
      <c r="I442" s="3">
        <f t="shared" si="24"/>
        <v>7.216404202286154E-3</v>
      </c>
      <c r="J442" s="3">
        <f t="shared" si="24"/>
        <v>-2.0640807002745874E-2</v>
      </c>
      <c r="K442" s="3">
        <f t="shared" si="24"/>
        <v>2.2295555670825175E-2</v>
      </c>
      <c r="L442" s="3">
        <f t="shared" si="23"/>
        <v>-1.7533610570244732E-3</v>
      </c>
      <c r="M442" s="3">
        <f t="shared" si="23"/>
        <v>-2.7777795639022749E-3</v>
      </c>
      <c r="N442" s="3">
        <f t="shared" si="23"/>
        <v>1.4444457627020377E-3</v>
      </c>
    </row>
    <row r="443" spans="1:14" x14ac:dyDescent="0.3">
      <c r="A443" s="2">
        <v>45390</v>
      </c>
      <c r="B443" s="3">
        <v>168.45</v>
      </c>
      <c r="C443" s="3">
        <v>87.13</v>
      </c>
      <c r="D443" s="3">
        <v>172.98</v>
      </c>
      <c r="E443" s="3">
        <v>34.25</v>
      </c>
      <c r="F443" s="3">
        <v>36.049999999999997</v>
      </c>
      <c r="G443" s="4">
        <v>5202.3900000000003</v>
      </c>
      <c r="I443" s="3">
        <f t="shared" si="24"/>
        <v>-6.6858220232951793E-3</v>
      </c>
      <c r="J443" s="3">
        <f t="shared" si="24"/>
        <v>-1.0049188142525025E-2</v>
      </c>
      <c r="K443" s="3">
        <f t="shared" si="24"/>
        <v>4.7836751312812432E-2</v>
      </c>
      <c r="L443" s="3">
        <f t="shared" si="23"/>
        <v>-1.7502921621241057E-3</v>
      </c>
      <c r="M443" s="3">
        <f t="shared" si="23"/>
        <v>-6.9108775398470275E-3</v>
      </c>
      <c r="N443" s="3">
        <f t="shared" si="23"/>
        <v>-3.747574930495873E-4</v>
      </c>
    </row>
    <row r="444" spans="1:14" x14ac:dyDescent="0.3">
      <c r="A444" s="2">
        <v>45387</v>
      </c>
      <c r="B444" s="3">
        <v>169.58</v>
      </c>
      <c r="C444" s="3">
        <v>88.01</v>
      </c>
      <c r="D444" s="3">
        <v>164.9</v>
      </c>
      <c r="E444" s="3">
        <v>34.31</v>
      </c>
      <c r="F444" s="3">
        <v>36.299999999999997</v>
      </c>
      <c r="G444" s="4">
        <v>5204.34</v>
      </c>
      <c r="I444" s="3">
        <f t="shared" si="24"/>
        <v>4.4917333202830713E-3</v>
      </c>
      <c r="J444" s="3">
        <f t="shared" si="24"/>
        <v>2.426661539551056E-2</v>
      </c>
      <c r="K444" s="3">
        <f t="shared" si="24"/>
        <v>-3.6967394978325893E-2</v>
      </c>
      <c r="L444" s="3">
        <f t="shared" si="23"/>
        <v>1.143204594665595E-2</v>
      </c>
      <c r="M444" s="3">
        <f t="shared" si="23"/>
        <v>4.9710127220204021E-3</v>
      </c>
      <c r="N444" s="3">
        <f t="shared" si="23"/>
        <v>1.1038072569656417E-2</v>
      </c>
    </row>
    <row r="445" spans="1:14" x14ac:dyDescent="0.3">
      <c r="A445" s="2">
        <v>45386</v>
      </c>
      <c r="B445" s="3">
        <v>168.82</v>
      </c>
      <c r="C445" s="3">
        <v>85.9</v>
      </c>
      <c r="D445" s="3">
        <v>171.11</v>
      </c>
      <c r="E445" s="3">
        <v>33.92</v>
      </c>
      <c r="F445" s="3">
        <v>36.119999999999997</v>
      </c>
      <c r="G445" s="4">
        <v>5147.21</v>
      </c>
      <c r="I445" s="3">
        <f t="shared" si="24"/>
        <v>-4.9044326746653004E-3</v>
      </c>
      <c r="J445" s="3">
        <f t="shared" si="24"/>
        <v>-3.5003001512062364E-2</v>
      </c>
      <c r="K445" s="3">
        <f t="shared" si="24"/>
        <v>1.6083294634361145E-2</v>
      </c>
      <c r="L445" s="3">
        <f t="shared" si="23"/>
        <v>1.179941139848548E-3</v>
      </c>
      <c r="M445" s="3">
        <f t="shared" si="23"/>
        <v>-8.2713457506773062E-3</v>
      </c>
      <c r="N445" s="3">
        <f t="shared" si="23"/>
        <v>-1.2410983057457463E-2</v>
      </c>
    </row>
    <row r="446" spans="1:14" x14ac:dyDescent="0.3">
      <c r="A446" s="2">
        <v>45385</v>
      </c>
      <c r="B446" s="3">
        <v>169.65</v>
      </c>
      <c r="C446" s="3">
        <v>88.96</v>
      </c>
      <c r="D446" s="3">
        <v>168.38</v>
      </c>
      <c r="E446" s="3">
        <v>33.880000000000003</v>
      </c>
      <c r="F446" s="3">
        <v>36.42</v>
      </c>
      <c r="G446" s="4">
        <v>5211.49</v>
      </c>
      <c r="I446" s="3">
        <f t="shared" si="24"/>
        <v>4.7859703159410811E-3</v>
      </c>
      <c r="J446" s="3">
        <f t="shared" si="24"/>
        <v>-5.4929794524559766E-3</v>
      </c>
      <c r="K446" s="3">
        <f t="shared" si="24"/>
        <v>1.0447544358985711E-2</v>
      </c>
      <c r="L446" s="3">
        <f t="shared" si="23"/>
        <v>8.596466159652252E-3</v>
      </c>
      <c r="M446" s="3">
        <f t="shared" si="23"/>
        <v>-2.4681213680835461E-3</v>
      </c>
      <c r="N446" s="3">
        <f t="shared" si="23"/>
        <v>1.0904938060488179E-3</v>
      </c>
    </row>
    <row r="447" spans="1:14" x14ac:dyDescent="0.3">
      <c r="A447" s="2">
        <v>45384</v>
      </c>
      <c r="B447" s="3">
        <v>168.84</v>
      </c>
      <c r="C447" s="3">
        <v>89.45</v>
      </c>
      <c r="D447" s="3">
        <v>166.63</v>
      </c>
      <c r="E447" s="3">
        <v>33.590000000000003</v>
      </c>
      <c r="F447" s="3">
        <v>36.51</v>
      </c>
      <c r="G447" s="4">
        <v>5205.8100000000004</v>
      </c>
      <c r="I447" s="3">
        <f t="shared" si="24"/>
        <v>-7.0233711550964639E-3</v>
      </c>
      <c r="J447" s="3">
        <f t="shared" si="24"/>
        <v>-1.0121881645074307E-2</v>
      </c>
      <c r="K447" s="3">
        <f t="shared" si="24"/>
        <v>-5.0266541687685684E-2</v>
      </c>
      <c r="L447" s="3">
        <f t="shared" si="23"/>
        <v>4.4756154077006307E-3</v>
      </c>
      <c r="M447" s="3">
        <f t="shared" si="23"/>
        <v>-7.3680235086296701E-3</v>
      </c>
      <c r="N447" s="3">
        <f t="shared" si="23"/>
        <v>-7.2653957344673645E-3</v>
      </c>
    </row>
    <row r="448" spans="1:14" x14ac:dyDescent="0.3">
      <c r="A448" s="2">
        <v>45383</v>
      </c>
      <c r="B448" s="3">
        <v>170.03</v>
      </c>
      <c r="C448" s="3">
        <v>90.36</v>
      </c>
      <c r="D448" s="3">
        <v>175.22</v>
      </c>
      <c r="E448" s="3">
        <v>33.44</v>
      </c>
      <c r="F448" s="3">
        <v>36.78</v>
      </c>
      <c r="G448" s="4">
        <v>5243.77</v>
      </c>
      <c r="I448" s="3">
        <f t="shared" si="24"/>
        <v>-8.4917496603818012E-3</v>
      </c>
      <c r="J448" s="3">
        <f t="shared" si="24"/>
        <v>0</v>
      </c>
      <c r="K448" s="3">
        <f t="shared" si="24"/>
        <v>-3.2477735735818264E-3</v>
      </c>
      <c r="L448" s="3">
        <f t="shared" si="23"/>
        <v>-1.7926506145199395E-3</v>
      </c>
      <c r="M448" s="3">
        <f t="shared" si="23"/>
        <v>-7.853797986465804E-3</v>
      </c>
      <c r="N448" s="3">
        <f t="shared" si="23"/>
        <v>-2.0155996658250933E-3</v>
      </c>
    </row>
    <row r="449" spans="1:14" x14ac:dyDescent="0.3">
      <c r="A449" s="2">
        <v>45379</v>
      </c>
      <c r="B449" s="3">
        <v>171.48</v>
      </c>
      <c r="C449" s="3">
        <v>90.36</v>
      </c>
      <c r="D449" s="3">
        <v>175.79</v>
      </c>
      <c r="E449" s="3">
        <v>33.5</v>
      </c>
      <c r="F449" s="3">
        <v>37.07</v>
      </c>
      <c r="G449" s="4">
        <v>5254.35</v>
      </c>
      <c r="I449" s="3">
        <f t="shared" si="24"/>
        <v>-1.0615256731507589E-2</v>
      </c>
      <c r="J449" s="3">
        <f t="shared" si="24"/>
        <v>1.2180943868121805E-3</v>
      </c>
      <c r="K449" s="3">
        <f t="shared" si="24"/>
        <v>-2.2721859365306012E-2</v>
      </c>
      <c r="L449" s="3">
        <f t="shared" si="23"/>
        <v>1.2314316897499891E-2</v>
      </c>
      <c r="M449" s="3">
        <f t="shared" si="23"/>
        <v>6.223805775534697E-3</v>
      </c>
      <c r="N449" s="3">
        <f t="shared" si="23"/>
        <v>1.1158887706710923E-3</v>
      </c>
    </row>
    <row r="450" spans="1:14" x14ac:dyDescent="0.3">
      <c r="A450" s="2">
        <v>45378</v>
      </c>
      <c r="B450" s="3">
        <v>173.31</v>
      </c>
      <c r="C450" s="3">
        <v>90.25</v>
      </c>
      <c r="D450" s="3">
        <v>179.83</v>
      </c>
      <c r="E450" s="3">
        <v>33.090000000000003</v>
      </c>
      <c r="F450" s="3">
        <v>36.840000000000003</v>
      </c>
      <c r="G450" s="4">
        <v>5248.49</v>
      </c>
      <c r="I450" s="3">
        <f t="shared" si="24"/>
        <v>2.0990800438109806E-2</v>
      </c>
      <c r="J450" s="3">
        <f t="shared" si="24"/>
        <v>-2.5273485672430849E-2</v>
      </c>
      <c r="K450" s="3">
        <f t="shared" si="24"/>
        <v>1.208406312929099E-2</v>
      </c>
      <c r="L450" s="3">
        <f t="shared" si="23"/>
        <v>7.8883904200196583E-3</v>
      </c>
      <c r="M450" s="3">
        <f t="shared" si="23"/>
        <v>1.9460666227557252E-2</v>
      </c>
      <c r="N450" s="3">
        <f t="shared" si="23"/>
        <v>8.5935659407079552E-3</v>
      </c>
    </row>
    <row r="451" spans="1:14" x14ac:dyDescent="0.3">
      <c r="A451" s="2">
        <v>45377</v>
      </c>
      <c r="B451" s="3">
        <v>169.71</v>
      </c>
      <c r="C451" s="3">
        <v>92.56</v>
      </c>
      <c r="D451" s="3">
        <v>177.67</v>
      </c>
      <c r="E451" s="3">
        <v>32.83</v>
      </c>
      <c r="F451" s="3">
        <v>36.130000000000003</v>
      </c>
      <c r="G451" s="4">
        <v>5203.58</v>
      </c>
      <c r="I451" s="3">
        <f t="shared" si="24"/>
        <v>-6.6948805381267596E-3</v>
      </c>
      <c r="J451" s="3">
        <f t="shared" si="24"/>
        <v>-2.6019808715119663E-2</v>
      </c>
      <c r="K451" s="3">
        <f t="shared" si="24"/>
        <v>2.8777321219357159E-2</v>
      </c>
      <c r="L451" s="3">
        <f t="shared" si="24"/>
        <v>-1.3914320073432284E-2</v>
      </c>
      <c r="M451" s="3">
        <f t="shared" si="24"/>
        <v>-1.9460666227557249E-2</v>
      </c>
      <c r="N451" s="3">
        <f t="shared" si="24"/>
        <v>-2.8037482252575453E-3</v>
      </c>
    </row>
    <row r="452" spans="1:14" x14ac:dyDescent="0.3">
      <c r="A452" s="2">
        <v>45376</v>
      </c>
      <c r="B452" s="3">
        <v>170.85</v>
      </c>
      <c r="C452" s="3">
        <v>95</v>
      </c>
      <c r="D452" s="3">
        <v>172.63</v>
      </c>
      <c r="E452" s="3">
        <v>33.29</v>
      </c>
      <c r="F452" s="3">
        <v>36.840000000000003</v>
      </c>
      <c r="G452" s="4">
        <v>5218.1899999999996</v>
      </c>
      <c r="I452" s="3">
        <f t="shared" ref="I452:L515" si="25">LN(B452/B453)</f>
        <v>-8.3350816246090791E-3</v>
      </c>
      <c r="J452" s="3">
        <f t="shared" si="25"/>
        <v>7.5017521229547909E-3</v>
      </c>
      <c r="K452" s="3">
        <f t="shared" si="25"/>
        <v>1.0481665869491241E-2</v>
      </c>
      <c r="L452" s="3">
        <f t="shared" si="25"/>
        <v>-4.4957366295672041E-3</v>
      </c>
      <c r="M452" s="3">
        <f t="shared" ref="M452:N515" si="26">LN(F452/F453)</f>
        <v>-1.374870019172012E-2</v>
      </c>
      <c r="N452" s="3">
        <f t="shared" si="26"/>
        <v>-3.0595955699421543E-3</v>
      </c>
    </row>
    <row r="453" spans="1:14" x14ac:dyDescent="0.3">
      <c r="A453" s="2">
        <v>45373</v>
      </c>
      <c r="B453" s="3">
        <v>172.28</v>
      </c>
      <c r="C453" s="3">
        <v>94.29</v>
      </c>
      <c r="D453" s="3">
        <v>170.83</v>
      </c>
      <c r="E453" s="3">
        <v>33.44</v>
      </c>
      <c r="F453" s="3">
        <v>37.35</v>
      </c>
      <c r="G453" s="4">
        <v>5234.18</v>
      </c>
      <c r="I453" s="3">
        <f t="shared" si="25"/>
        <v>5.2960985131520685E-3</v>
      </c>
      <c r="J453" s="3">
        <f t="shared" si="25"/>
        <v>3.0801487301250711E-2</v>
      </c>
      <c r="K453" s="3">
        <f t="shared" si="25"/>
        <v>-1.1581680454286902E-2</v>
      </c>
      <c r="L453" s="3">
        <f t="shared" si="25"/>
        <v>-9.5238815112554786E-3</v>
      </c>
      <c r="M453" s="3">
        <f t="shared" si="26"/>
        <v>-1.3826330334877065E-2</v>
      </c>
      <c r="N453" s="3">
        <f t="shared" si="26"/>
        <v>-1.4032464064151588E-3</v>
      </c>
    </row>
    <row r="454" spans="1:14" x14ac:dyDescent="0.3">
      <c r="A454" s="2">
        <v>45372</v>
      </c>
      <c r="B454" s="3">
        <v>171.37</v>
      </c>
      <c r="C454" s="3">
        <v>91.43</v>
      </c>
      <c r="D454" s="3">
        <v>172.82</v>
      </c>
      <c r="E454" s="3">
        <v>33.76</v>
      </c>
      <c r="F454" s="3">
        <v>37.869999999999997</v>
      </c>
      <c r="G454" s="4">
        <v>5241.53</v>
      </c>
      <c r="I454" s="3">
        <f t="shared" si="25"/>
        <v>-4.1715567272317969E-2</v>
      </c>
      <c r="J454" s="3">
        <f t="shared" si="25"/>
        <v>1.166129826247075E-2</v>
      </c>
      <c r="K454" s="3">
        <f t="shared" si="25"/>
        <v>-1.6299718075718082E-2</v>
      </c>
      <c r="L454" s="3">
        <f t="shared" si="25"/>
        <v>1.1020215772193073E-2</v>
      </c>
      <c r="M454" s="3">
        <f t="shared" si="26"/>
        <v>6.8892694314582996E-3</v>
      </c>
      <c r="N454" s="3">
        <f t="shared" si="26"/>
        <v>3.2313725131378058E-3</v>
      </c>
    </row>
    <row r="455" spans="1:14" x14ac:dyDescent="0.3">
      <c r="A455" s="2">
        <v>45371</v>
      </c>
      <c r="B455" s="3">
        <v>178.67</v>
      </c>
      <c r="C455" s="3">
        <v>90.37</v>
      </c>
      <c r="D455" s="3">
        <v>175.66</v>
      </c>
      <c r="E455" s="3">
        <v>33.39</v>
      </c>
      <c r="F455" s="3">
        <v>37.61</v>
      </c>
      <c r="G455" s="4">
        <v>5224.62</v>
      </c>
      <c r="I455" s="3">
        <f t="shared" si="25"/>
        <v>1.4602091726869399E-2</v>
      </c>
      <c r="J455" s="3">
        <f t="shared" si="25"/>
        <v>1.0791671734395877E-2</v>
      </c>
      <c r="K455" s="3">
        <f t="shared" si="25"/>
        <v>2.5017155741801141E-2</v>
      </c>
      <c r="L455" s="3">
        <f t="shared" si="25"/>
        <v>5.1043497704143558E-3</v>
      </c>
      <c r="M455" s="3">
        <f t="shared" si="26"/>
        <v>1.689274652326625E-2</v>
      </c>
      <c r="N455" s="3">
        <f t="shared" si="26"/>
        <v>8.8646978273410684E-3</v>
      </c>
    </row>
    <row r="456" spans="1:14" x14ac:dyDescent="0.3">
      <c r="A456" s="2">
        <v>45370</v>
      </c>
      <c r="B456" s="3">
        <v>176.08</v>
      </c>
      <c r="C456" s="3">
        <v>89.4</v>
      </c>
      <c r="D456" s="3">
        <v>171.32</v>
      </c>
      <c r="E456" s="3">
        <v>33.22</v>
      </c>
      <c r="F456" s="3">
        <v>36.979999999999997</v>
      </c>
      <c r="G456" s="4">
        <v>5178.51</v>
      </c>
      <c r="I456" s="3">
        <f t="shared" si="25"/>
        <v>1.3493629551585165E-2</v>
      </c>
      <c r="J456" s="3">
        <f t="shared" si="25"/>
        <v>1.057020973928793E-2</v>
      </c>
      <c r="K456" s="3">
        <f t="shared" si="25"/>
        <v>-1.4372060084121584E-2</v>
      </c>
      <c r="L456" s="3">
        <f t="shared" si="25"/>
        <v>2.5302371001910764E-2</v>
      </c>
      <c r="M456" s="3">
        <f t="shared" si="26"/>
        <v>-8.8841612740877957E-3</v>
      </c>
      <c r="N456" s="3">
        <f t="shared" si="26"/>
        <v>5.6332831318901015E-3</v>
      </c>
    </row>
    <row r="457" spans="1:14" x14ac:dyDescent="0.3">
      <c r="A457" s="2">
        <v>45369</v>
      </c>
      <c r="B457" s="3">
        <v>173.72</v>
      </c>
      <c r="C457" s="3">
        <v>88.46</v>
      </c>
      <c r="D457" s="3">
        <v>173.8</v>
      </c>
      <c r="E457" s="3">
        <v>32.39</v>
      </c>
      <c r="F457" s="3">
        <v>37.31</v>
      </c>
      <c r="G457" s="4">
        <v>5149.42</v>
      </c>
      <c r="I457" s="3">
        <f t="shared" si="25"/>
        <v>6.3521608751096097E-3</v>
      </c>
      <c r="J457" s="3">
        <f t="shared" si="25"/>
        <v>7.0334946789600873E-3</v>
      </c>
      <c r="K457" s="3">
        <f t="shared" si="25"/>
        <v>6.0664179560857595E-2</v>
      </c>
      <c r="L457" s="3">
        <f t="shared" si="25"/>
        <v>2.1634995303432187E-3</v>
      </c>
      <c r="M457" s="3">
        <f t="shared" si="26"/>
        <v>9.1546142845259221E-3</v>
      </c>
      <c r="N457" s="3">
        <f t="shared" si="26"/>
        <v>6.2981688751588584E-3</v>
      </c>
    </row>
    <row r="458" spans="1:14" x14ac:dyDescent="0.3">
      <c r="A458" s="2">
        <v>45366</v>
      </c>
      <c r="B458" s="3">
        <v>172.62</v>
      </c>
      <c r="C458" s="3">
        <v>87.84</v>
      </c>
      <c r="D458" s="3">
        <v>163.57</v>
      </c>
      <c r="E458" s="3">
        <v>32.32</v>
      </c>
      <c r="F458" s="3">
        <v>36.97</v>
      </c>
      <c r="G458" s="4">
        <v>5117.09</v>
      </c>
      <c r="I458" s="3">
        <f t="shared" si="25"/>
        <v>-2.1989477062673733E-3</v>
      </c>
      <c r="J458" s="3">
        <f t="shared" si="25"/>
        <v>-1.1377859914434799E-3</v>
      </c>
      <c r="K458" s="3">
        <f t="shared" si="25"/>
        <v>6.5630315006420994E-3</v>
      </c>
      <c r="L458" s="3">
        <f t="shared" si="25"/>
        <v>1.1827090866028185E-2</v>
      </c>
      <c r="M458" s="3">
        <f t="shared" si="26"/>
        <v>-1.6216219769808681E-3</v>
      </c>
      <c r="N458" s="3">
        <f t="shared" si="26"/>
        <v>-6.5039961169264899E-3</v>
      </c>
    </row>
    <row r="459" spans="1:14" x14ac:dyDescent="0.3">
      <c r="A459" s="2">
        <v>45365</v>
      </c>
      <c r="B459" s="3">
        <v>173</v>
      </c>
      <c r="C459" s="3">
        <v>87.94</v>
      </c>
      <c r="D459" s="3">
        <v>162.5</v>
      </c>
      <c r="E459" s="3">
        <v>31.94</v>
      </c>
      <c r="F459" s="3">
        <v>37.03</v>
      </c>
      <c r="G459" s="4">
        <v>5150.4799999999996</v>
      </c>
      <c r="I459" s="3">
        <f t="shared" si="25"/>
        <v>1.0868092908418524E-2</v>
      </c>
      <c r="J459" s="3">
        <f t="shared" si="25"/>
        <v>-3.2995220378015021E-2</v>
      </c>
      <c r="K459" s="3">
        <f t="shared" si="25"/>
        <v>-4.2056923988566246E-2</v>
      </c>
      <c r="L459" s="3">
        <f t="shared" si="25"/>
        <v>5.9664174481658342E-3</v>
      </c>
      <c r="M459" s="3">
        <f t="shared" si="26"/>
        <v>-2.005146714784212E-2</v>
      </c>
      <c r="N459" s="3">
        <f t="shared" si="26"/>
        <v>-2.8752059156686048E-3</v>
      </c>
    </row>
    <row r="460" spans="1:14" x14ac:dyDescent="0.3">
      <c r="A460" s="2">
        <v>45364</v>
      </c>
      <c r="B460" s="3">
        <v>171.13</v>
      </c>
      <c r="C460" s="3">
        <v>90.89</v>
      </c>
      <c r="D460" s="3">
        <v>169.48</v>
      </c>
      <c r="E460" s="3">
        <v>31.75</v>
      </c>
      <c r="F460" s="3">
        <v>37.78</v>
      </c>
      <c r="G460" s="4">
        <v>5165.3100000000004</v>
      </c>
      <c r="I460" s="3">
        <f t="shared" si="25"/>
        <v>-1.2196689701489101E-2</v>
      </c>
      <c r="J460" s="3">
        <f t="shared" si="25"/>
        <v>-1.1159853239339058E-2</v>
      </c>
      <c r="K460" s="3">
        <f t="shared" si="25"/>
        <v>-4.6461009881814855E-2</v>
      </c>
      <c r="L460" s="3">
        <f t="shared" si="25"/>
        <v>8.2226902257674372E-3</v>
      </c>
      <c r="M460" s="3">
        <f t="shared" si="26"/>
        <v>-1.0582011569479615E-3</v>
      </c>
      <c r="N460" s="3">
        <f t="shared" si="26"/>
        <v>-1.926391571868686E-3</v>
      </c>
    </row>
    <row r="461" spans="1:14" x14ac:dyDescent="0.3">
      <c r="A461" s="2">
        <v>45363</v>
      </c>
      <c r="B461" s="3">
        <v>173.23</v>
      </c>
      <c r="C461" s="3">
        <v>91.91</v>
      </c>
      <c r="D461" s="3">
        <v>177.54</v>
      </c>
      <c r="E461" s="3">
        <v>31.49</v>
      </c>
      <c r="F461" s="3">
        <v>37.82</v>
      </c>
      <c r="G461" s="4">
        <v>5175.2700000000004</v>
      </c>
      <c r="I461" s="3">
        <f t="shared" si="25"/>
        <v>2.7747286430700939E-3</v>
      </c>
      <c r="J461" s="3">
        <f t="shared" si="25"/>
        <v>6.9140542367687963E-2</v>
      </c>
      <c r="K461" s="3">
        <f t="shared" si="25"/>
        <v>-1.2946442944208429E-3</v>
      </c>
      <c r="L461" s="3">
        <f t="shared" si="25"/>
        <v>6.0519375668257472E-3</v>
      </c>
      <c r="M461" s="3">
        <f t="shared" si="26"/>
        <v>-5.800174446878084E-3</v>
      </c>
      <c r="N461" s="3">
        <f t="shared" si="26"/>
        <v>1.1139497364012345E-2</v>
      </c>
    </row>
    <row r="462" spans="1:14" x14ac:dyDescent="0.3">
      <c r="A462" s="2">
        <v>45362</v>
      </c>
      <c r="B462" s="3">
        <v>172.75</v>
      </c>
      <c r="C462" s="3">
        <v>85.77</v>
      </c>
      <c r="D462" s="3">
        <v>177.77</v>
      </c>
      <c r="E462" s="3">
        <v>31.3</v>
      </c>
      <c r="F462" s="3">
        <v>38.04</v>
      </c>
      <c r="G462" s="4">
        <v>5117.9399999999996</v>
      </c>
      <c r="I462" s="3">
        <f t="shared" si="25"/>
        <v>1.1762101364637088E-2</v>
      </c>
      <c r="J462" s="3">
        <f t="shared" si="25"/>
        <v>-2.0312296742016515E-2</v>
      </c>
      <c r="K462" s="3">
        <f t="shared" si="25"/>
        <v>1.3763633774154488E-2</v>
      </c>
      <c r="L462" s="3">
        <f t="shared" si="25"/>
        <v>2.2618088587772364E-2</v>
      </c>
      <c r="M462" s="3">
        <f t="shared" si="26"/>
        <v>-3.9354635602353036E-3</v>
      </c>
      <c r="N462" s="3">
        <f t="shared" si="26"/>
        <v>-1.1228682551799477E-3</v>
      </c>
    </row>
    <row r="463" spans="1:14" x14ac:dyDescent="0.3">
      <c r="A463" s="2">
        <v>45359</v>
      </c>
      <c r="B463" s="3">
        <v>170.73</v>
      </c>
      <c r="C463" s="3">
        <v>87.53</v>
      </c>
      <c r="D463" s="3">
        <v>175.34</v>
      </c>
      <c r="E463" s="3">
        <v>30.6</v>
      </c>
      <c r="F463" s="3">
        <v>38.19</v>
      </c>
      <c r="G463" s="4">
        <v>5123.6899999999996</v>
      </c>
      <c r="I463" s="3">
        <f t="shared" si="25"/>
        <v>1.0184646360068749E-2</v>
      </c>
      <c r="J463" s="3">
        <f t="shared" si="25"/>
        <v>-5.7063203854253439E-2</v>
      </c>
      <c r="K463" s="3">
        <f t="shared" si="25"/>
        <v>-1.8701638308979297E-2</v>
      </c>
      <c r="L463" s="3">
        <f t="shared" si="25"/>
        <v>-7.4882329397237754E-3</v>
      </c>
      <c r="M463" s="3">
        <f t="shared" si="26"/>
        <v>7.0950238506037148E-3</v>
      </c>
      <c r="N463" s="3">
        <f t="shared" si="26"/>
        <v>-6.5499380656454595E-3</v>
      </c>
    </row>
    <row r="464" spans="1:14" x14ac:dyDescent="0.3">
      <c r="A464" s="2">
        <v>45358</v>
      </c>
      <c r="B464" s="3">
        <v>169</v>
      </c>
      <c r="C464" s="3">
        <v>92.67</v>
      </c>
      <c r="D464" s="3">
        <v>178.65</v>
      </c>
      <c r="E464" s="3">
        <v>30.83</v>
      </c>
      <c r="F464" s="3">
        <v>37.92</v>
      </c>
      <c r="G464" s="4">
        <v>5157.3599999999997</v>
      </c>
      <c r="I464" s="3">
        <f t="shared" si="25"/>
        <v>-7.0980719885401129E-4</v>
      </c>
      <c r="J464" s="3">
        <f t="shared" si="25"/>
        <v>4.3784906283066166E-2</v>
      </c>
      <c r="K464" s="3">
        <f t="shared" si="25"/>
        <v>1.1881104877332176E-2</v>
      </c>
      <c r="L464" s="3">
        <f t="shared" si="25"/>
        <v>8.7962775997392599E-3</v>
      </c>
      <c r="M464" s="3">
        <f t="shared" si="26"/>
        <v>-4.4731031036916681E-3</v>
      </c>
      <c r="N464" s="3">
        <f t="shared" si="26"/>
        <v>1.0251382881397443E-2</v>
      </c>
    </row>
    <row r="465" spans="1:14" x14ac:dyDescent="0.3">
      <c r="A465" s="2">
        <v>45357</v>
      </c>
      <c r="B465" s="3">
        <v>169.12</v>
      </c>
      <c r="C465" s="3">
        <v>88.7</v>
      </c>
      <c r="D465" s="3">
        <v>176.54</v>
      </c>
      <c r="E465" s="3">
        <v>30.56</v>
      </c>
      <c r="F465" s="3">
        <v>38.090000000000003</v>
      </c>
      <c r="G465" s="4">
        <v>5104.76</v>
      </c>
      <c r="I465" s="3">
        <f t="shared" si="25"/>
        <v>-5.8955482635053178E-3</v>
      </c>
      <c r="J465" s="3">
        <f t="shared" si="25"/>
        <v>3.1377817541224144E-2</v>
      </c>
      <c r="K465" s="3">
        <f t="shared" si="25"/>
        <v>-2.3512054881722994E-2</v>
      </c>
      <c r="L465" s="3">
        <f t="shared" si="25"/>
        <v>1.2843911127349851E-2</v>
      </c>
      <c r="M465" s="3">
        <f t="shared" si="26"/>
        <v>-4.1917797820320664E-3</v>
      </c>
      <c r="N465" s="3">
        <f t="shared" si="26"/>
        <v>5.1279595372516517E-3</v>
      </c>
    </row>
    <row r="466" spans="1:14" x14ac:dyDescent="0.3">
      <c r="A466" s="2">
        <v>45356</v>
      </c>
      <c r="B466" s="3">
        <v>170.12</v>
      </c>
      <c r="C466" s="3">
        <v>85.96</v>
      </c>
      <c r="D466" s="3">
        <v>180.74</v>
      </c>
      <c r="E466" s="3">
        <v>30.17</v>
      </c>
      <c r="F466" s="3">
        <v>38.25</v>
      </c>
      <c r="G466" s="4">
        <v>5078.6499999999996</v>
      </c>
      <c r="I466" s="3">
        <f t="shared" si="25"/>
        <v>-2.8853168906373343E-2</v>
      </c>
      <c r="J466" s="3">
        <f t="shared" si="25"/>
        <v>8.411264543893229E-3</v>
      </c>
      <c r="K466" s="3">
        <f t="shared" si="25"/>
        <v>-4.0126832069995455E-2</v>
      </c>
      <c r="L466" s="3">
        <f t="shared" si="25"/>
        <v>2.4833490925588349E-2</v>
      </c>
      <c r="M466" s="3">
        <f t="shared" si="26"/>
        <v>-3.3929303070090637E-3</v>
      </c>
      <c r="N466" s="3">
        <f t="shared" si="26"/>
        <v>-1.0245348981574391E-2</v>
      </c>
    </row>
    <row r="467" spans="1:14" x14ac:dyDescent="0.3">
      <c r="A467" s="2">
        <v>45355</v>
      </c>
      <c r="B467" s="3">
        <v>175.1</v>
      </c>
      <c r="C467" s="3">
        <v>85.24</v>
      </c>
      <c r="D467" s="3">
        <v>188.14</v>
      </c>
      <c r="E467" s="3">
        <v>29.43</v>
      </c>
      <c r="F467" s="3">
        <v>38.380000000000003</v>
      </c>
      <c r="G467" s="4">
        <v>5130.95</v>
      </c>
      <c r="I467" s="3">
        <f t="shared" si="25"/>
        <v>-2.5708936509254418E-2</v>
      </c>
      <c r="J467" s="3">
        <f t="shared" si="25"/>
        <v>3.5342742445659818E-2</v>
      </c>
      <c r="K467" s="3">
        <f t="shared" si="25"/>
        <v>-7.4244639149614405E-2</v>
      </c>
      <c r="L467" s="3">
        <f t="shared" si="25"/>
        <v>-1.7848596403637312E-2</v>
      </c>
      <c r="M467" s="3">
        <f t="shared" si="26"/>
        <v>3.9159428712326775E-3</v>
      </c>
      <c r="N467" s="3">
        <f t="shared" si="26"/>
        <v>-1.1939974324694175E-3</v>
      </c>
    </row>
    <row r="468" spans="1:14" x14ac:dyDescent="0.3">
      <c r="A468" s="2">
        <v>45352</v>
      </c>
      <c r="B468" s="3">
        <v>179.66</v>
      </c>
      <c r="C468" s="3">
        <v>82.28</v>
      </c>
      <c r="D468" s="3">
        <v>202.64</v>
      </c>
      <c r="E468" s="3">
        <v>29.96</v>
      </c>
      <c r="F468" s="3">
        <v>38.229999999999997</v>
      </c>
      <c r="G468" s="4">
        <v>5137.08</v>
      </c>
      <c r="I468" s="3">
        <f t="shared" si="25"/>
        <v>-6.0486852378135621E-3</v>
      </c>
      <c r="J468" s="3">
        <f t="shared" si="25"/>
        <v>3.9288775751451489E-2</v>
      </c>
      <c r="K468" s="3">
        <f t="shared" si="25"/>
        <v>3.7575442213581794E-3</v>
      </c>
      <c r="L468" s="3">
        <f t="shared" si="25"/>
        <v>1.2426692236900476E-2</v>
      </c>
      <c r="M468" s="3">
        <f t="shared" si="26"/>
        <v>7.614583201453317E-3</v>
      </c>
      <c r="N468" s="3">
        <f t="shared" si="26"/>
        <v>7.9759250577916968E-3</v>
      </c>
    </row>
    <row r="469" spans="1:14" x14ac:dyDescent="0.3">
      <c r="A469" s="2">
        <v>45351</v>
      </c>
      <c r="B469" s="3">
        <v>180.75</v>
      </c>
      <c r="C469" s="3">
        <v>79.11</v>
      </c>
      <c r="D469" s="3">
        <v>201.88</v>
      </c>
      <c r="E469" s="3">
        <v>29.59</v>
      </c>
      <c r="F469" s="3">
        <v>37.94</v>
      </c>
      <c r="G469" s="4">
        <v>5096.2700000000004</v>
      </c>
      <c r="I469" s="3">
        <f t="shared" si="25"/>
        <v>-3.6999241479239351E-3</v>
      </c>
      <c r="J469" s="3">
        <f t="shared" si="25"/>
        <v>1.8498964729783792E-2</v>
      </c>
      <c r="K469" s="3">
        <f t="shared" si="25"/>
        <v>-7.9223612779020906E-4</v>
      </c>
      <c r="L469" s="3">
        <f t="shared" si="25"/>
        <v>3.7243990909824939E-3</v>
      </c>
      <c r="M469" s="3">
        <f t="shared" si="26"/>
        <v>6.8765147987057806E-3</v>
      </c>
      <c r="N469" s="3">
        <f t="shared" si="26"/>
        <v>5.2154203933401618E-3</v>
      </c>
    </row>
    <row r="470" spans="1:14" x14ac:dyDescent="0.3">
      <c r="A470" s="2">
        <v>45350</v>
      </c>
      <c r="B470" s="3">
        <v>181.42</v>
      </c>
      <c r="C470" s="3">
        <v>77.66</v>
      </c>
      <c r="D470" s="3">
        <v>202.04</v>
      </c>
      <c r="E470" s="3">
        <v>29.48</v>
      </c>
      <c r="F470" s="3">
        <v>37.68</v>
      </c>
      <c r="G470" s="4">
        <v>5069.76</v>
      </c>
      <c r="I470" s="3">
        <f t="shared" si="25"/>
        <v>-6.6474630171523214E-3</v>
      </c>
      <c r="J470" s="3">
        <f t="shared" si="25"/>
        <v>-1.3302831119836338E-2</v>
      </c>
      <c r="K470" s="3">
        <f t="shared" si="25"/>
        <v>1.1499243122771534E-2</v>
      </c>
      <c r="L470" s="3">
        <f t="shared" si="25"/>
        <v>-8.1081525284224746E-3</v>
      </c>
      <c r="M470" s="3">
        <f t="shared" si="26"/>
        <v>-7.4035240335648279E-3</v>
      </c>
      <c r="N470" s="3">
        <f t="shared" si="26"/>
        <v>-1.659450476103029E-3</v>
      </c>
    </row>
    <row r="471" spans="1:14" x14ac:dyDescent="0.3">
      <c r="A471" s="2">
        <v>45349</v>
      </c>
      <c r="B471" s="3">
        <v>182.63</v>
      </c>
      <c r="C471" s="3">
        <v>78.7</v>
      </c>
      <c r="D471" s="3">
        <v>199.73</v>
      </c>
      <c r="E471" s="3">
        <v>29.72</v>
      </c>
      <c r="F471" s="3">
        <v>37.96</v>
      </c>
      <c r="G471" s="4">
        <v>5078.18</v>
      </c>
      <c r="I471" s="3">
        <f t="shared" si="25"/>
        <v>8.0816295159372147E-3</v>
      </c>
      <c r="J471" s="3">
        <f t="shared" si="25"/>
        <v>-4.9432891079683808E-3</v>
      </c>
      <c r="K471" s="3">
        <f t="shared" si="25"/>
        <v>1.6535969493423699E-3</v>
      </c>
      <c r="L471" s="3">
        <f t="shared" si="25"/>
        <v>-4.0295554860016883E-3</v>
      </c>
      <c r="M471" s="3">
        <f t="shared" si="26"/>
        <v>-5.7788445558743804E-3</v>
      </c>
      <c r="N471" s="3">
        <f t="shared" si="26"/>
        <v>1.7048185442892359E-3</v>
      </c>
    </row>
    <row r="472" spans="1:14" x14ac:dyDescent="0.3">
      <c r="A472" s="2">
        <v>45348</v>
      </c>
      <c r="B472" s="3">
        <v>181.16</v>
      </c>
      <c r="C472" s="3">
        <v>79.09</v>
      </c>
      <c r="D472" s="3">
        <v>199.4</v>
      </c>
      <c r="E472" s="3">
        <v>29.84</v>
      </c>
      <c r="F472" s="3">
        <v>38.18</v>
      </c>
      <c r="G472" s="4">
        <v>5069.53</v>
      </c>
      <c r="I472" s="3">
        <f t="shared" si="25"/>
        <v>-7.4791373711888022E-3</v>
      </c>
      <c r="J472" s="3">
        <f t="shared" si="25"/>
        <v>3.4196727644682941E-3</v>
      </c>
      <c r="K472" s="3">
        <f t="shared" si="25"/>
        <v>3.7973747708259453E-2</v>
      </c>
      <c r="L472" s="3">
        <f t="shared" si="25"/>
        <v>-1.6742009602863912E-3</v>
      </c>
      <c r="M472" s="3">
        <f t="shared" si="26"/>
        <v>-3.921061094862152E-3</v>
      </c>
      <c r="N472" s="3">
        <f t="shared" si="26"/>
        <v>-3.7939352461026604E-3</v>
      </c>
    </row>
    <row r="473" spans="1:14" x14ac:dyDescent="0.3">
      <c r="A473" s="2">
        <v>45345</v>
      </c>
      <c r="B473" s="3">
        <v>182.52</v>
      </c>
      <c r="C473" s="3">
        <v>78.819999999999993</v>
      </c>
      <c r="D473" s="3">
        <v>191.97</v>
      </c>
      <c r="E473" s="3">
        <v>29.89</v>
      </c>
      <c r="F473" s="3">
        <v>38.33</v>
      </c>
      <c r="G473" s="4">
        <v>5088.8</v>
      </c>
      <c r="I473" s="3">
        <f t="shared" si="25"/>
        <v>-1.0084852023097546E-2</v>
      </c>
      <c r="J473" s="3">
        <f t="shared" si="25"/>
        <v>3.5587226169939328E-3</v>
      </c>
      <c r="K473" s="3">
        <f t="shared" si="25"/>
        <v>-2.7943674458097863E-2</v>
      </c>
      <c r="L473" s="3">
        <f t="shared" si="25"/>
        <v>2.3355267021610508E-2</v>
      </c>
      <c r="M473" s="3">
        <f t="shared" si="26"/>
        <v>1.1545654361954278E-2</v>
      </c>
      <c r="N473" s="3">
        <f t="shared" si="26"/>
        <v>3.4788317372660206E-4</v>
      </c>
    </row>
    <row r="474" spans="1:14" x14ac:dyDescent="0.3">
      <c r="A474" s="2">
        <v>45344</v>
      </c>
      <c r="B474" s="3">
        <v>184.37</v>
      </c>
      <c r="C474" s="3">
        <v>78.540000000000006</v>
      </c>
      <c r="D474" s="3">
        <v>197.41</v>
      </c>
      <c r="E474" s="3">
        <v>29.2</v>
      </c>
      <c r="F474" s="3">
        <v>37.89</v>
      </c>
      <c r="G474" s="4">
        <v>5087.03</v>
      </c>
      <c r="I474" s="3">
        <f t="shared" si="25"/>
        <v>1.1181223144870737E-2</v>
      </c>
      <c r="J474" s="3">
        <f t="shared" si="25"/>
        <v>0.15192499451052965</v>
      </c>
      <c r="K474" s="3">
        <f t="shared" si="25"/>
        <v>1.3463409035767935E-2</v>
      </c>
      <c r="L474" s="3">
        <f t="shared" si="25"/>
        <v>-4.7830634405996286E-3</v>
      </c>
      <c r="M474" s="3">
        <f t="shared" si="26"/>
        <v>2.1070255417119894E-2</v>
      </c>
      <c r="N474" s="3">
        <f t="shared" si="26"/>
        <v>2.0902891694828028E-2</v>
      </c>
    </row>
    <row r="475" spans="1:14" x14ac:dyDescent="0.3">
      <c r="A475" s="2">
        <v>45343</v>
      </c>
      <c r="B475" s="3">
        <v>182.32</v>
      </c>
      <c r="C475" s="3">
        <v>67.47</v>
      </c>
      <c r="D475" s="3">
        <v>194.77</v>
      </c>
      <c r="E475" s="3">
        <v>29.34</v>
      </c>
      <c r="F475" s="3">
        <v>37.1</v>
      </c>
      <c r="G475" s="4">
        <v>4981.8</v>
      </c>
      <c r="I475" s="3">
        <f t="shared" si="25"/>
        <v>4.1772073491637982E-3</v>
      </c>
      <c r="J475" s="3">
        <f t="shared" si="25"/>
        <v>-2.8924014561018823E-2</v>
      </c>
      <c r="K475" s="3">
        <f t="shared" si="25"/>
        <v>5.1990954370264514E-3</v>
      </c>
      <c r="L475" s="3">
        <f t="shared" si="25"/>
        <v>9.9332894169153821E-3</v>
      </c>
      <c r="M475" s="3">
        <f t="shared" si="26"/>
        <v>6.4900173717123135E-3</v>
      </c>
      <c r="N475" s="3">
        <f t="shared" si="26"/>
        <v>1.2633935945864823E-3</v>
      </c>
    </row>
    <row r="476" spans="1:14" x14ac:dyDescent="0.3">
      <c r="A476" s="2">
        <v>45342</v>
      </c>
      <c r="B476" s="3">
        <v>181.56</v>
      </c>
      <c r="C476" s="3">
        <v>69.45</v>
      </c>
      <c r="D476" s="3">
        <v>193.76</v>
      </c>
      <c r="E476" s="3">
        <v>29.05</v>
      </c>
      <c r="F476" s="3">
        <v>36.86</v>
      </c>
      <c r="G476" s="4">
        <v>4975.51</v>
      </c>
      <c r="I476" s="3">
        <f t="shared" si="25"/>
        <v>-4.1223572271086705E-3</v>
      </c>
      <c r="J476" s="3">
        <f t="shared" si="25"/>
        <v>-4.4495584191802544E-2</v>
      </c>
      <c r="K476" s="3">
        <f t="shared" si="25"/>
        <v>-3.1447055488045217E-2</v>
      </c>
      <c r="L476" s="3">
        <f t="shared" si="25"/>
        <v>-3.4364294985810982E-3</v>
      </c>
      <c r="M476" s="3">
        <f t="shared" si="26"/>
        <v>3.8053864893874217E-3</v>
      </c>
      <c r="N476" s="3">
        <f t="shared" si="26"/>
        <v>-6.0234144772223523E-3</v>
      </c>
    </row>
    <row r="477" spans="1:14" x14ac:dyDescent="0.3">
      <c r="A477" s="2">
        <v>45338</v>
      </c>
      <c r="B477" s="3">
        <v>182.31</v>
      </c>
      <c r="C477" s="3">
        <v>72.61</v>
      </c>
      <c r="D477" s="3">
        <v>199.95</v>
      </c>
      <c r="E477" s="3">
        <v>29.15</v>
      </c>
      <c r="F477" s="3">
        <v>36.72</v>
      </c>
      <c r="G477" s="4">
        <v>5005.57</v>
      </c>
      <c r="I477" s="3">
        <f t="shared" si="25"/>
        <v>-8.4660636202350554E-3</v>
      </c>
      <c r="J477" s="3">
        <f t="shared" si="25"/>
        <v>-6.883734009004303E-4</v>
      </c>
      <c r="K477" s="3">
        <f t="shared" si="25"/>
        <v>-2.4975037956886091E-3</v>
      </c>
      <c r="L477" s="3">
        <f t="shared" si="25"/>
        <v>-1.7137964777347416E-3</v>
      </c>
      <c r="M477" s="3">
        <f t="shared" si="26"/>
        <v>-7.5963468919347634E-3</v>
      </c>
      <c r="N477" s="3">
        <f t="shared" si="26"/>
        <v>-4.8150123419915631E-3</v>
      </c>
    </row>
    <row r="478" spans="1:14" x14ac:dyDescent="0.3">
      <c r="A478" s="2">
        <v>45337</v>
      </c>
      <c r="B478" s="3">
        <v>183.86</v>
      </c>
      <c r="C478" s="3">
        <v>72.66</v>
      </c>
      <c r="D478" s="3">
        <v>200.45</v>
      </c>
      <c r="E478" s="3">
        <v>29.2</v>
      </c>
      <c r="F478" s="3">
        <v>37</v>
      </c>
      <c r="G478" s="4">
        <v>5029.7299999999996</v>
      </c>
      <c r="I478" s="3">
        <f t="shared" si="25"/>
        <v>-1.5760444554656545E-3</v>
      </c>
      <c r="J478" s="3">
        <f t="shared" si="25"/>
        <v>-1.692180116110038E-2</v>
      </c>
      <c r="K478" s="3">
        <f t="shared" si="25"/>
        <v>6.035339394751154E-2</v>
      </c>
      <c r="L478" s="3">
        <f t="shared" si="25"/>
        <v>1.2058716320127394E-2</v>
      </c>
      <c r="M478" s="3">
        <f t="shared" si="26"/>
        <v>0</v>
      </c>
      <c r="N478" s="3">
        <f t="shared" si="26"/>
        <v>5.8043999917945753E-3</v>
      </c>
    </row>
    <row r="479" spans="1:14" x14ac:dyDescent="0.3">
      <c r="A479" s="2">
        <v>45336</v>
      </c>
      <c r="B479" s="3">
        <v>184.15</v>
      </c>
      <c r="C479" s="3">
        <v>73.900000000000006</v>
      </c>
      <c r="D479" s="3">
        <v>188.71</v>
      </c>
      <c r="E479" s="3">
        <v>28.85</v>
      </c>
      <c r="F479" s="3">
        <v>37</v>
      </c>
      <c r="G479" s="4">
        <v>5000.62</v>
      </c>
      <c r="I479" s="3">
        <f t="shared" si="25"/>
        <v>-4.8213750321093058E-3</v>
      </c>
      <c r="J479" s="3">
        <f t="shared" si="25"/>
        <v>2.4242781438575021E-2</v>
      </c>
      <c r="K479" s="3">
        <f t="shared" si="25"/>
        <v>2.5166997786789217E-2</v>
      </c>
      <c r="L479" s="3">
        <f t="shared" si="25"/>
        <v>-5.5306051792041256E-3</v>
      </c>
      <c r="M479" s="3">
        <f t="shared" si="26"/>
        <v>1.0596485512079545E-2</v>
      </c>
      <c r="N479" s="3">
        <f t="shared" si="26"/>
        <v>9.5341290968955009E-3</v>
      </c>
    </row>
    <row r="480" spans="1:14" x14ac:dyDescent="0.3">
      <c r="A480" s="2">
        <v>45335</v>
      </c>
      <c r="B480" s="3">
        <v>185.04</v>
      </c>
      <c r="C480" s="3">
        <v>72.13</v>
      </c>
      <c r="D480" s="3">
        <v>184.02</v>
      </c>
      <c r="E480" s="3">
        <v>29.01</v>
      </c>
      <c r="F480" s="3">
        <v>36.61</v>
      </c>
      <c r="G480" s="4">
        <v>4953.17</v>
      </c>
      <c r="I480" s="3">
        <f t="shared" si="25"/>
        <v>-1.1338416427254269E-2</v>
      </c>
      <c r="J480" s="3">
        <f t="shared" si="25"/>
        <v>-1.6622804769603494E-3</v>
      </c>
      <c r="K480" s="3">
        <f t="shared" si="25"/>
        <v>-2.2088765868823877E-2</v>
      </c>
      <c r="L480" s="3">
        <f t="shared" si="25"/>
        <v>-1.6749665212461452E-2</v>
      </c>
      <c r="M480" s="3">
        <f t="shared" si="26"/>
        <v>-7.0767851139082651E-3</v>
      </c>
      <c r="N480" s="3">
        <f t="shared" si="26"/>
        <v>-1.3768624761212093E-2</v>
      </c>
    </row>
    <row r="481" spans="1:14" x14ac:dyDescent="0.3">
      <c r="A481" s="2">
        <v>45334</v>
      </c>
      <c r="B481" s="3">
        <v>187.15</v>
      </c>
      <c r="C481" s="3">
        <v>72.25</v>
      </c>
      <c r="D481" s="3">
        <v>188.13</v>
      </c>
      <c r="E481" s="3">
        <v>29.5</v>
      </c>
      <c r="F481" s="3">
        <v>36.869999999999997</v>
      </c>
      <c r="G481" s="4">
        <v>5021.84</v>
      </c>
      <c r="I481" s="3">
        <f t="shared" si="25"/>
        <v>-9.0426148080278088E-3</v>
      </c>
      <c r="J481" s="3">
        <f t="shared" si="25"/>
        <v>1.662280476960308E-3</v>
      </c>
      <c r="K481" s="3">
        <f t="shared" si="25"/>
        <v>-2.8505990934415217E-2</v>
      </c>
      <c r="L481" s="3">
        <f t="shared" si="25"/>
        <v>1.5027605203637438E-2</v>
      </c>
      <c r="M481" s="3">
        <f t="shared" si="26"/>
        <v>-5.4229936253114919E-4</v>
      </c>
      <c r="N481" s="3">
        <f t="shared" si="26"/>
        <v>-9.4940022755554091E-4</v>
      </c>
    </row>
    <row r="482" spans="1:14" x14ac:dyDescent="0.3">
      <c r="A482" s="2">
        <v>45331</v>
      </c>
      <c r="B482" s="3">
        <v>188.85</v>
      </c>
      <c r="C482" s="3">
        <v>72.13</v>
      </c>
      <c r="D482" s="3">
        <v>193.57</v>
      </c>
      <c r="E482" s="3">
        <v>29.06</v>
      </c>
      <c r="F482" s="3">
        <v>36.89</v>
      </c>
      <c r="G482" s="4">
        <v>5026.6099999999997</v>
      </c>
      <c r="I482" s="3">
        <f t="shared" si="25"/>
        <v>2.8104056464991977E-3</v>
      </c>
      <c r="J482" s="3">
        <f t="shared" si="25"/>
        <v>3.51309316155929E-2</v>
      </c>
      <c r="K482" s="3">
        <f t="shared" si="25"/>
        <v>2.0933607058066801E-2</v>
      </c>
      <c r="L482" s="3">
        <f t="shared" si="25"/>
        <v>-8.9072188763139135E-3</v>
      </c>
      <c r="M482" s="3">
        <f t="shared" si="26"/>
        <v>-4.867505554056583E-3</v>
      </c>
      <c r="N482" s="3">
        <f t="shared" si="26"/>
        <v>5.7259755908601927E-3</v>
      </c>
    </row>
    <row r="483" spans="1:14" x14ac:dyDescent="0.3">
      <c r="A483" s="2">
        <v>45330</v>
      </c>
      <c r="B483" s="3">
        <v>188.32</v>
      </c>
      <c r="C483" s="3">
        <v>69.64</v>
      </c>
      <c r="D483" s="3">
        <v>189.56</v>
      </c>
      <c r="E483" s="3">
        <v>29.32</v>
      </c>
      <c r="F483" s="3">
        <v>37.07</v>
      </c>
      <c r="G483" s="4">
        <v>4997.91</v>
      </c>
      <c r="I483" s="3">
        <f t="shared" si="25"/>
        <v>-5.7713341566836846E-3</v>
      </c>
      <c r="J483" s="3">
        <f t="shared" si="25"/>
        <v>-6.5836791405560454E-3</v>
      </c>
      <c r="K483" s="3">
        <f t="shared" si="25"/>
        <v>1.0500176018595143E-2</v>
      </c>
      <c r="L483" s="3">
        <f t="shared" si="25"/>
        <v>6.8446536899654988E-3</v>
      </c>
      <c r="M483" s="3">
        <f t="shared" si="26"/>
        <v>2.1604113182782272E-3</v>
      </c>
      <c r="N483" s="3">
        <f t="shared" si="26"/>
        <v>5.7040100736248747E-4</v>
      </c>
    </row>
    <row r="484" spans="1:14" x14ac:dyDescent="0.3">
      <c r="A484" s="2">
        <v>45329</v>
      </c>
      <c r="B484" s="3">
        <v>189.41</v>
      </c>
      <c r="C484" s="3">
        <v>70.099999999999994</v>
      </c>
      <c r="D484" s="3">
        <v>187.58</v>
      </c>
      <c r="E484" s="3">
        <v>29.12</v>
      </c>
      <c r="F484" s="3">
        <v>36.99</v>
      </c>
      <c r="G484" s="4">
        <v>4995.0600000000004</v>
      </c>
      <c r="I484" s="3">
        <f t="shared" si="25"/>
        <v>5.8091945337303437E-4</v>
      </c>
      <c r="J484" s="3">
        <f t="shared" si="25"/>
        <v>2.718501705004461E-2</v>
      </c>
      <c r="K484" s="3">
        <f t="shared" si="25"/>
        <v>1.3309201501340776E-2</v>
      </c>
      <c r="L484" s="3">
        <f t="shared" si="25"/>
        <v>-9.2292571023407377E-3</v>
      </c>
      <c r="M484" s="3">
        <f t="shared" si="26"/>
        <v>-8.1070130098883449E-4</v>
      </c>
      <c r="N484" s="3">
        <f t="shared" si="26"/>
        <v>8.2076669213310503E-3</v>
      </c>
    </row>
    <row r="485" spans="1:14" x14ac:dyDescent="0.3">
      <c r="A485" s="2">
        <v>45328</v>
      </c>
      <c r="B485" s="3">
        <v>189.3</v>
      </c>
      <c r="C485" s="3">
        <v>68.22</v>
      </c>
      <c r="D485" s="3">
        <v>185.1</v>
      </c>
      <c r="E485" s="3">
        <v>29.39</v>
      </c>
      <c r="F485" s="3">
        <v>37.020000000000003</v>
      </c>
      <c r="G485" s="4">
        <v>4954.2299999999996</v>
      </c>
      <c r="I485" s="3">
        <f t="shared" si="25"/>
        <v>8.5946733101117737E-3</v>
      </c>
      <c r="J485" s="3">
        <f t="shared" si="25"/>
        <v>-1.6139935963899416E-2</v>
      </c>
      <c r="K485" s="3">
        <f t="shared" si="25"/>
        <v>2.2067751532157384E-2</v>
      </c>
      <c r="L485" s="3">
        <f t="shared" si="25"/>
        <v>2.0279093288925829E-2</v>
      </c>
      <c r="M485" s="3">
        <f t="shared" si="26"/>
        <v>7.8644473137755647E-3</v>
      </c>
      <c r="N485" s="3">
        <f t="shared" si="26"/>
        <v>2.3077617284261594E-3</v>
      </c>
    </row>
    <row r="486" spans="1:14" x14ac:dyDescent="0.3">
      <c r="A486" s="2">
        <v>45327</v>
      </c>
      <c r="B486" s="3">
        <v>187.68</v>
      </c>
      <c r="C486" s="3">
        <v>69.33</v>
      </c>
      <c r="D486" s="3">
        <v>181.06</v>
      </c>
      <c r="E486" s="3">
        <v>28.8</v>
      </c>
      <c r="F486" s="3">
        <v>36.729999999999997</v>
      </c>
      <c r="G486" s="4">
        <v>4942.8100000000004</v>
      </c>
      <c r="I486" s="3">
        <f t="shared" si="25"/>
        <v>9.7984881619042011E-3</v>
      </c>
      <c r="J486" s="3">
        <f t="shared" si="25"/>
        <v>4.6801662238963204E-2</v>
      </c>
      <c r="K486" s="3">
        <f t="shared" si="25"/>
        <v>-3.7134656753766884E-2</v>
      </c>
      <c r="L486" s="3">
        <f t="shared" si="25"/>
        <v>-6.5755557916638572E-3</v>
      </c>
      <c r="M486" s="3">
        <f t="shared" si="26"/>
        <v>5.4600190243846731E-3</v>
      </c>
      <c r="N486" s="3">
        <f t="shared" si="26"/>
        <v>-3.191464135615035E-3</v>
      </c>
    </row>
    <row r="487" spans="1:14" x14ac:dyDescent="0.3">
      <c r="A487" s="2">
        <v>45324</v>
      </c>
      <c r="B487" s="3">
        <v>185.85</v>
      </c>
      <c r="C487" s="3">
        <v>66.16</v>
      </c>
      <c r="D487" s="3">
        <v>187.91</v>
      </c>
      <c r="E487" s="3">
        <v>28.99</v>
      </c>
      <c r="F487" s="3">
        <v>36.53</v>
      </c>
      <c r="G487" s="4">
        <v>4958.6099999999997</v>
      </c>
      <c r="I487" s="3">
        <f t="shared" si="25"/>
        <v>-5.4197766215485846E-3</v>
      </c>
      <c r="J487" s="3">
        <f t="shared" si="25"/>
        <v>4.8465247190417046E-2</v>
      </c>
      <c r="K487" s="3">
        <f t="shared" si="25"/>
        <v>-5.0428750338620109E-3</v>
      </c>
      <c r="L487" s="3">
        <f t="shared" si="25"/>
        <v>1.2495823823540501E-2</v>
      </c>
      <c r="M487" s="3">
        <f t="shared" si="26"/>
        <v>6.8672155602552756E-3</v>
      </c>
      <c r="N487" s="3">
        <f t="shared" si="26"/>
        <v>1.0627786351803241E-2</v>
      </c>
    </row>
    <row r="488" spans="1:14" x14ac:dyDescent="0.3">
      <c r="A488" s="2">
        <v>45323</v>
      </c>
      <c r="B488" s="3">
        <v>186.86</v>
      </c>
      <c r="C488" s="3">
        <v>63.03</v>
      </c>
      <c r="D488" s="3">
        <v>188.86</v>
      </c>
      <c r="E488" s="3">
        <v>28.63</v>
      </c>
      <c r="F488" s="3">
        <v>36.28</v>
      </c>
      <c r="G488" s="4">
        <v>4906.1899999999996</v>
      </c>
      <c r="I488" s="3">
        <f t="shared" si="25"/>
        <v>1.3252362242316237E-2</v>
      </c>
      <c r="J488" s="3">
        <f t="shared" si="25"/>
        <v>2.4085942772619912E-2</v>
      </c>
      <c r="K488" s="3">
        <f t="shared" si="25"/>
        <v>8.3477820931607896E-3</v>
      </c>
      <c r="L488" s="3">
        <f t="shared" si="25"/>
        <v>4.5510318354188995E-3</v>
      </c>
      <c r="M488" s="3">
        <f t="shared" si="26"/>
        <v>1.6115936461342403E-2</v>
      </c>
      <c r="N488" s="3">
        <f t="shared" si="26"/>
        <v>1.2416277903485802E-2</v>
      </c>
    </row>
    <row r="489" spans="1:14" x14ac:dyDescent="0.3">
      <c r="A489" s="2">
        <v>45322</v>
      </c>
      <c r="B489" s="3">
        <v>184.4</v>
      </c>
      <c r="C489" s="3">
        <v>61.53</v>
      </c>
      <c r="D489" s="3">
        <v>187.29</v>
      </c>
      <c r="E489" s="3">
        <v>28.5</v>
      </c>
      <c r="F489" s="3">
        <v>35.700000000000003</v>
      </c>
      <c r="G489" s="4">
        <v>4845.6499999999996</v>
      </c>
      <c r="I489" s="3">
        <f t="shared" si="25"/>
        <v>-1.9547395033436211E-2</v>
      </c>
      <c r="J489" s="3">
        <f t="shared" si="25"/>
        <v>-1.9952391577041501E-2</v>
      </c>
      <c r="K489" s="3">
        <f t="shared" si="25"/>
        <v>-2.2699454366138679E-2</v>
      </c>
      <c r="L489" s="3">
        <f t="shared" si="25"/>
        <v>-2.90476854402308E-2</v>
      </c>
      <c r="M489" s="3">
        <f t="shared" si="26"/>
        <v>-4.1928782600359274E-3</v>
      </c>
      <c r="N489" s="3">
        <f t="shared" si="26"/>
        <v>-1.6236787963987382E-2</v>
      </c>
    </row>
    <row r="490" spans="1:14" x14ac:dyDescent="0.3">
      <c r="A490" s="2">
        <v>45321</v>
      </c>
      <c r="B490" s="3">
        <v>188.04</v>
      </c>
      <c r="C490" s="3">
        <v>62.77</v>
      </c>
      <c r="D490" s="3">
        <v>191.59</v>
      </c>
      <c r="E490" s="3">
        <v>29.34</v>
      </c>
      <c r="F490" s="3">
        <v>35.85</v>
      </c>
      <c r="G490" s="4">
        <v>4924.97</v>
      </c>
      <c r="I490" s="3">
        <f t="shared" si="25"/>
        <v>-1.9433426174370286E-2</v>
      </c>
      <c r="J490" s="3">
        <f t="shared" si="25"/>
        <v>4.790810823961913E-3</v>
      </c>
      <c r="K490" s="3">
        <f t="shared" si="25"/>
        <v>3.4508033825278806E-3</v>
      </c>
      <c r="L490" s="3">
        <f t="shared" si="25"/>
        <v>-2.2245608947319737E-2</v>
      </c>
      <c r="M490" s="3">
        <f t="shared" si="26"/>
        <v>7.278867523528105E-3</v>
      </c>
      <c r="N490" s="3">
        <f t="shared" si="26"/>
        <v>-6.0083834993726029E-4</v>
      </c>
    </row>
    <row r="491" spans="1:14" x14ac:dyDescent="0.3">
      <c r="A491" s="2">
        <v>45320</v>
      </c>
      <c r="B491" s="3">
        <v>191.73</v>
      </c>
      <c r="C491" s="3">
        <v>62.47</v>
      </c>
      <c r="D491" s="3">
        <v>190.93</v>
      </c>
      <c r="E491" s="3">
        <v>30</v>
      </c>
      <c r="F491" s="3">
        <v>35.590000000000003</v>
      </c>
      <c r="G491" s="4">
        <v>4927.93</v>
      </c>
      <c r="I491" s="3">
        <f t="shared" si="25"/>
        <v>-3.5923506028184725E-3</v>
      </c>
      <c r="J491" s="3">
        <f t="shared" si="25"/>
        <v>2.3320894949074873E-2</v>
      </c>
      <c r="K491" s="3">
        <f t="shared" si="25"/>
        <v>4.1055527958612177E-2</v>
      </c>
      <c r="L491" s="3">
        <f t="shared" si="25"/>
        <v>-1.5873349156290122E-2</v>
      </c>
      <c r="M491" s="3">
        <f t="shared" si="26"/>
        <v>5.6354051647294658E-3</v>
      </c>
      <c r="N491" s="3">
        <f t="shared" si="26"/>
        <v>7.5283737614565433E-3</v>
      </c>
    </row>
    <row r="492" spans="1:14" x14ac:dyDescent="0.3">
      <c r="A492" s="2">
        <v>45317</v>
      </c>
      <c r="B492" s="3">
        <v>192.42</v>
      </c>
      <c r="C492" s="3">
        <v>61.03</v>
      </c>
      <c r="D492" s="3">
        <v>183.25</v>
      </c>
      <c r="E492" s="3">
        <v>30.48</v>
      </c>
      <c r="F492" s="3">
        <v>35.39</v>
      </c>
      <c r="G492" s="4">
        <v>4890.97</v>
      </c>
      <c r="I492" s="3">
        <f t="shared" si="25"/>
        <v>-9.0535810732438726E-3</v>
      </c>
      <c r="J492" s="3">
        <f t="shared" si="25"/>
        <v>-9.620946612118271E-3</v>
      </c>
      <c r="K492" s="3">
        <f t="shared" si="25"/>
        <v>3.389092562810636E-3</v>
      </c>
      <c r="L492" s="3">
        <f t="shared" si="25"/>
        <v>5.9230183031220712E-3</v>
      </c>
      <c r="M492" s="3">
        <f t="shared" si="26"/>
        <v>1.1081232867958311E-2</v>
      </c>
      <c r="N492" s="3">
        <f t="shared" si="26"/>
        <v>-6.52009756234213E-4</v>
      </c>
    </row>
    <row r="493" spans="1:14" x14ac:dyDescent="0.3">
      <c r="A493" s="2">
        <v>45316</v>
      </c>
      <c r="B493" s="3">
        <v>194.17</v>
      </c>
      <c r="C493" s="3">
        <v>61.62</v>
      </c>
      <c r="D493" s="3">
        <v>182.63</v>
      </c>
      <c r="E493" s="3">
        <v>30.3</v>
      </c>
      <c r="F493" s="3">
        <v>35</v>
      </c>
      <c r="G493" s="4">
        <v>4894.16</v>
      </c>
      <c r="I493" s="3">
        <f t="shared" si="25"/>
        <v>-1.6980990521387232E-3</v>
      </c>
      <c r="J493" s="3">
        <f t="shared" si="25"/>
        <v>4.2283361095211049E-3</v>
      </c>
      <c r="K493" s="3">
        <f t="shared" si="25"/>
        <v>-0.12925818962703148</v>
      </c>
      <c r="L493" s="3">
        <f t="shared" si="25"/>
        <v>8.6178856193896182E-3</v>
      </c>
      <c r="M493" s="3">
        <f t="shared" si="26"/>
        <v>1.7582237045238848E-2</v>
      </c>
      <c r="N493" s="3">
        <f t="shared" si="26"/>
        <v>5.2465060919916033E-3</v>
      </c>
    </row>
    <row r="494" spans="1:14" x14ac:dyDescent="0.3">
      <c r="A494" s="2">
        <v>45315</v>
      </c>
      <c r="B494" s="3">
        <v>194.5</v>
      </c>
      <c r="C494" s="3">
        <v>61.36</v>
      </c>
      <c r="D494" s="3">
        <v>207.83</v>
      </c>
      <c r="E494" s="3">
        <v>30.04</v>
      </c>
      <c r="F494" s="3">
        <v>34.39</v>
      </c>
      <c r="G494" s="4">
        <v>4868.55</v>
      </c>
      <c r="I494" s="3">
        <f t="shared" si="25"/>
        <v>-3.4900466548141206E-3</v>
      </c>
      <c r="J494" s="3">
        <f t="shared" si="25"/>
        <v>2.4582612121740077E-2</v>
      </c>
      <c r="K494" s="3">
        <f t="shared" si="25"/>
        <v>-6.2834463394608134E-3</v>
      </c>
      <c r="L494" s="3">
        <f t="shared" si="25"/>
        <v>-4.8409646661035567E-2</v>
      </c>
      <c r="M494" s="3">
        <f t="shared" si="26"/>
        <v>-1.4434430754507963E-2</v>
      </c>
      <c r="N494" s="3">
        <f t="shared" si="26"/>
        <v>8.1165916827587409E-4</v>
      </c>
    </row>
    <row r="495" spans="1:14" x14ac:dyDescent="0.3">
      <c r="A495" s="2">
        <v>45314</v>
      </c>
      <c r="B495" s="3">
        <v>195.18</v>
      </c>
      <c r="C495" s="3">
        <v>59.87</v>
      </c>
      <c r="D495" s="3">
        <v>209.14</v>
      </c>
      <c r="E495" s="3">
        <v>31.53</v>
      </c>
      <c r="F495" s="3">
        <v>34.89</v>
      </c>
      <c r="G495" s="4">
        <v>4864.6000000000004</v>
      </c>
      <c r="I495" s="3">
        <f t="shared" si="25"/>
        <v>6.6312217704013977E-3</v>
      </c>
      <c r="J495" s="3">
        <f t="shared" si="25"/>
        <v>3.6813963933354861E-3</v>
      </c>
      <c r="K495" s="3">
        <f t="shared" si="25"/>
        <v>1.6270281619588474E-3</v>
      </c>
      <c r="L495" s="3">
        <f t="shared" si="25"/>
        <v>1.7597638568246973E-2</v>
      </c>
      <c r="M495" s="3">
        <f t="shared" si="26"/>
        <v>4.0206831878816466E-3</v>
      </c>
      <c r="N495" s="3">
        <f t="shared" si="26"/>
        <v>2.917131506229948E-3</v>
      </c>
    </row>
    <row r="496" spans="1:14" x14ac:dyDescent="0.3">
      <c r="A496" s="2">
        <v>45313</v>
      </c>
      <c r="B496" s="3">
        <v>193.89</v>
      </c>
      <c r="C496" s="3">
        <v>59.65</v>
      </c>
      <c r="D496" s="3">
        <v>208.8</v>
      </c>
      <c r="E496" s="3">
        <v>30.98</v>
      </c>
      <c r="F496" s="3">
        <v>34.75</v>
      </c>
      <c r="G496" s="4">
        <v>4850.43</v>
      </c>
      <c r="I496" s="3">
        <f t="shared" si="25"/>
        <v>1.2089912468505099E-2</v>
      </c>
      <c r="J496" s="3">
        <f t="shared" si="25"/>
        <v>2.6859173441106977E-3</v>
      </c>
      <c r="K496" s="3">
        <f t="shared" si="25"/>
        <v>-1.6105243707524548E-2</v>
      </c>
      <c r="L496" s="3">
        <f t="shared" si="25"/>
        <v>9.0791803955710629E-3</v>
      </c>
      <c r="M496" s="3">
        <f t="shared" si="26"/>
        <v>5.7720217971224119E-3</v>
      </c>
      <c r="N496" s="3">
        <f t="shared" si="26"/>
        <v>2.1918970535104105E-3</v>
      </c>
    </row>
    <row r="497" spans="1:14" x14ac:dyDescent="0.3">
      <c r="A497" s="2">
        <v>45310</v>
      </c>
      <c r="B497" s="3">
        <v>191.56</v>
      </c>
      <c r="C497" s="3">
        <v>59.49</v>
      </c>
      <c r="D497" s="3">
        <v>212.19</v>
      </c>
      <c r="E497" s="3">
        <v>30.7</v>
      </c>
      <c r="F497" s="3">
        <v>34.549999999999997</v>
      </c>
      <c r="G497" s="4">
        <v>4839.8100000000004</v>
      </c>
      <c r="I497" s="3">
        <f t="shared" si="25"/>
        <v>1.5413651116775463E-2</v>
      </c>
      <c r="J497" s="3">
        <f t="shared" si="25"/>
        <v>4.0828998523042788E-2</v>
      </c>
      <c r="K497" s="3">
        <f t="shared" si="25"/>
        <v>1.4620230396824351E-3</v>
      </c>
      <c r="L497" s="3">
        <f t="shared" si="25"/>
        <v>-5.5221839209164611E-3</v>
      </c>
      <c r="M497" s="3">
        <f t="shared" si="26"/>
        <v>2.8985527540112575E-3</v>
      </c>
      <c r="N497" s="3">
        <f t="shared" si="26"/>
        <v>1.2238283870230153E-2</v>
      </c>
    </row>
    <row r="498" spans="1:14" x14ac:dyDescent="0.3">
      <c r="A498" s="2">
        <v>45309</v>
      </c>
      <c r="B498" s="3">
        <v>188.63</v>
      </c>
      <c r="C498" s="3">
        <v>57.11</v>
      </c>
      <c r="D498" s="3">
        <v>211.88</v>
      </c>
      <c r="E498" s="3">
        <v>30.87</v>
      </c>
      <c r="F498" s="3">
        <v>34.450000000000003</v>
      </c>
      <c r="G498" s="4">
        <v>4780.9399999999996</v>
      </c>
      <c r="I498" s="3">
        <f t="shared" si="25"/>
        <v>3.2051436040834928E-2</v>
      </c>
      <c r="J498" s="3">
        <f t="shared" si="25"/>
        <v>1.8735083158602648E-2</v>
      </c>
      <c r="K498" s="3">
        <f t="shared" si="25"/>
        <v>-1.7172824516817793E-2</v>
      </c>
      <c r="L498" s="3">
        <f t="shared" si="25"/>
        <v>2.5948765776588772E-3</v>
      </c>
      <c r="M498" s="3">
        <f t="shared" si="26"/>
        <v>1.7431730154927568E-3</v>
      </c>
      <c r="N498" s="3">
        <f t="shared" si="26"/>
        <v>8.7667247395320728E-3</v>
      </c>
    </row>
    <row r="499" spans="1:14" x14ac:dyDescent="0.3">
      <c r="A499" s="2">
        <v>45308</v>
      </c>
      <c r="B499" s="3">
        <v>182.68</v>
      </c>
      <c r="C499" s="3">
        <v>56.05</v>
      </c>
      <c r="D499" s="3">
        <v>215.55</v>
      </c>
      <c r="E499" s="3">
        <v>30.79</v>
      </c>
      <c r="F499" s="3">
        <v>34.39</v>
      </c>
      <c r="G499" s="4">
        <v>4739.21</v>
      </c>
      <c r="I499" s="3">
        <f t="shared" si="25"/>
        <v>-5.186875214289937E-3</v>
      </c>
      <c r="J499" s="3">
        <f t="shared" si="25"/>
        <v>-5.8703361677977248E-3</v>
      </c>
      <c r="K499" s="3">
        <f t="shared" si="25"/>
        <v>-2.0025470549612796E-2</v>
      </c>
      <c r="L499" s="3">
        <f t="shared" si="25"/>
        <v>3.9049838102488492E-3</v>
      </c>
      <c r="M499" s="3">
        <f t="shared" si="26"/>
        <v>-1.0125936368784061E-2</v>
      </c>
      <c r="N499" s="3">
        <f t="shared" si="26"/>
        <v>-5.6327271267556144E-3</v>
      </c>
    </row>
    <row r="500" spans="1:14" x14ac:dyDescent="0.3">
      <c r="A500" s="2">
        <v>45307</v>
      </c>
      <c r="B500" s="3">
        <v>183.63</v>
      </c>
      <c r="C500" s="3">
        <v>56.38</v>
      </c>
      <c r="D500" s="3">
        <v>219.91</v>
      </c>
      <c r="E500" s="3">
        <v>30.67</v>
      </c>
      <c r="F500" s="3">
        <v>34.74</v>
      </c>
      <c r="G500" s="4">
        <v>4765.9799999999996</v>
      </c>
      <c r="I500" s="3">
        <f t="shared" si="25"/>
        <v>-1.2393610132458198E-2</v>
      </c>
      <c r="J500" s="3">
        <f t="shared" si="25"/>
        <v>3.0067977610231982E-2</v>
      </c>
      <c r="K500" s="3">
        <f t="shared" si="25"/>
        <v>4.6490512176933004E-3</v>
      </c>
      <c r="L500" s="3">
        <f t="shared" si="25"/>
        <v>-2.73372868635181E-2</v>
      </c>
      <c r="M500" s="3">
        <f t="shared" si="26"/>
        <v>-3.4482792789159327E-3</v>
      </c>
      <c r="N500" s="3">
        <f t="shared" si="26"/>
        <v>-3.7382986232446964E-3</v>
      </c>
    </row>
    <row r="501" spans="1:14" x14ac:dyDescent="0.3">
      <c r="A501" s="2">
        <v>45303</v>
      </c>
      <c r="B501" s="3">
        <v>185.92</v>
      </c>
      <c r="C501" s="3">
        <v>54.71</v>
      </c>
      <c r="D501" s="3">
        <v>218.89</v>
      </c>
      <c r="E501" s="3">
        <v>31.52</v>
      </c>
      <c r="F501" s="3">
        <v>34.86</v>
      </c>
      <c r="G501" s="4">
        <v>4783.83</v>
      </c>
      <c r="I501" s="3">
        <f t="shared" si="25"/>
        <v>1.7765340733330659E-3</v>
      </c>
      <c r="J501" s="3">
        <f t="shared" si="25"/>
        <v>-2.0085827989051539E-3</v>
      </c>
      <c r="K501" s="3">
        <f t="shared" si="25"/>
        <v>-3.7349390616695295E-2</v>
      </c>
      <c r="L501" s="3">
        <f t="shared" si="25"/>
        <v>1.1166171210432584E-2</v>
      </c>
      <c r="M501" s="3">
        <f t="shared" si="26"/>
        <v>8.3537861583417531E-3</v>
      </c>
      <c r="N501" s="3">
        <f t="shared" si="26"/>
        <v>7.5072645194105983E-4</v>
      </c>
    </row>
    <row r="502" spans="1:14" x14ac:dyDescent="0.3">
      <c r="A502" s="2">
        <v>45302</v>
      </c>
      <c r="B502" s="3">
        <v>185.59</v>
      </c>
      <c r="C502" s="3">
        <v>54.82</v>
      </c>
      <c r="D502" s="3">
        <v>227.22</v>
      </c>
      <c r="E502" s="3">
        <v>31.17</v>
      </c>
      <c r="F502" s="3">
        <v>34.57</v>
      </c>
      <c r="G502" s="4">
        <v>4780.24</v>
      </c>
      <c r="I502" s="3">
        <f t="shared" si="25"/>
        <v>-3.2277181177477222E-3</v>
      </c>
      <c r="J502" s="3">
        <f t="shared" si="25"/>
        <v>8.6104773074213124E-3</v>
      </c>
      <c r="K502" s="3">
        <f t="shared" si="25"/>
        <v>-2.9145961080802474E-2</v>
      </c>
      <c r="L502" s="3">
        <f t="shared" si="25"/>
        <v>-1.9230775157414877E-3</v>
      </c>
      <c r="M502" s="3">
        <f t="shared" si="26"/>
        <v>-3.7534330192804085E-3</v>
      </c>
      <c r="N502" s="3">
        <f t="shared" si="26"/>
        <v>-6.7128903604016395E-4</v>
      </c>
    </row>
    <row r="503" spans="1:14" x14ac:dyDescent="0.3">
      <c r="A503" s="2">
        <v>45301</v>
      </c>
      <c r="B503" s="3">
        <v>186.19</v>
      </c>
      <c r="C503" s="3">
        <v>54.35</v>
      </c>
      <c r="D503" s="3">
        <v>233.94</v>
      </c>
      <c r="E503" s="3">
        <v>31.23</v>
      </c>
      <c r="F503" s="3">
        <v>34.700000000000003</v>
      </c>
      <c r="G503" s="4">
        <v>4783.45</v>
      </c>
      <c r="I503" s="3">
        <f t="shared" si="25"/>
        <v>5.6553620688958323E-3</v>
      </c>
      <c r="J503" s="3">
        <f t="shared" si="25"/>
        <v>2.2514673235551053E-2</v>
      </c>
      <c r="K503" s="3">
        <f t="shared" si="25"/>
        <v>-4.3506146678037308E-3</v>
      </c>
      <c r="L503" s="3">
        <f t="shared" si="25"/>
        <v>-1.2410660486338747E-2</v>
      </c>
      <c r="M503" s="3">
        <f t="shared" si="26"/>
        <v>2.5970293055607922E-3</v>
      </c>
      <c r="N503" s="3">
        <f t="shared" si="26"/>
        <v>5.6499398196109933E-3</v>
      </c>
    </row>
    <row r="504" spans="1:14" x14ac:dyDescent="0.3">
      <c r="A504" s="2">
        <v>45300</v>
      </c>
      <c r="B504" s="3">
        <v>185.14</v>
      </c>
      <c r="C504" s="3">
        <v>53.14</v>
      </c>
      <c r="D504" s="3">
        <v>234.96</v>
      </c>
      <c r="E504" s="3">
        <v>31.62</v>
      </c>
      <c r="F504" s="3">
        <v>34.61</v>
      </c>
      <c r="G504" s="4">
        <v>4756.5</v>
      </c>
      <c r="I504" s="3">
        <f t="shared" si="25"/>
        <v>-2.2659842444777943E-3</v>
      </c>
      <c r="J504" s="3">
        <f t="shared" si="25"/>
        <v>1.6890049486747067E-2</v>
      </c>
      <c r="K504" s="3">
        <f t="shared" si="25"/>
        <v>-2.3096880833306986E-2</v>
      </c>
      <c r="L504" s="3">
        <f t="shared" si="25"/>
        <v>-2.5602397465886134E-2</v>
      </c>
      <c r="M504" s="3">
        <f t="shared" si="26"/>
        <v>-2.3088033344053922E-3</v>
      </c>
      <c r="N504" s="3">
        <f t="shared" si="26"/>
        <v>-1.4789856520085827E-3</v>
      </c>
    </row>
    <row r="505" spans="1:14" x14ac:dyDescent="0.3">
      <c r="A505" s="2">
        <v>45299</v>
      </c>
      <c r="B505" s="3">
        <v>185.56</v>
      </c>
      <c r="C505" s="3">
        <v>52.25</v>
      </c>
      <c r="D505" s="3">
        <v>240.45</v>
      </c>
      <c r="E505" s="3">
        <v>32.44</v>
      </c>
      <c r="F505" s="3">
        <v>34.69</v>
      </c>
      <c r="G505" s="4">
        <v>4763.54</v>
      </c>
      <c r="I505" s="3">
        <f t="shared" si="25"/>
        <v>2.3887267642401212E-2</v>
      </c>
      <c r="J505" s="3">
        <f t="shared" si="25"/>
        <v>6.2180856044445454E-2</v>
      </c>
      <c r="K505" s="3">
        <f t="shared" si="25"/>
        <v>1.2386650398585053E-2</v>
      </c>
      <c r="L505" s="3">
        <f t="shared" si="25"/>
        <v>-2.976229392003564E-2</v>
      </c>
      <c r="M505" s="3">
        <f t="shared" si="26"/>
        <v>2.0199112335950566E-3</v>
      </c>
      <c r="N505" s="3">
        <f t="shared" si="26"/>
        <v>1.4015987132365047E-2</v>
      </c>
    </row>
    <row r="506" spans="1:14" x14ac:dyDescent="0.3">
      <c r="A506" s="2">
        <v>45296</v>
      </c>
      <c r="B506" s="3">
        <v>181.18</v>
      </c>
      <c r="C506" s="3">
        <v>49.1</v>
      </c>
      <c r="D506" s="3">
        <v>237.49</v>
      </c>
      <c r="E506" s="3">
        <v>33.42</v>
      </c>
      <c r="F506" s="3">
        <v>34.619999999999997</v>
      </c>
      <c r="G506" s="4">
        <v>4697.24</v>
      </c>
      <c r="I506" s="3">
        <f t="shared" si="25"/>
        <v>-4.0210470329829356E-3</v>
      </c>
      <c r="J506" s="3">
        <f t="shared" si="25"/>
        <v>2.2658023892583996E-2</v>
      </c>
      <c r="K506" s="3">
        <f t="shared" si="25"/>
        <v>-1.850995438251376E-3</v>
      </c>
      <c r="L506" s="3">
        <f t="shared" si="25"/>
        <v>5.099756065384581E-3</v>
      </c>
      <c r="M506" s="3">
        <f t="shared" si="26"/>
        <v>-2.8843400440862555E-3</v>
      </c>
      <c r="N506" s="3">
        <f t="shared" si="26"/>
        <v>1.8240092336748459E-3</v>
      </c>
    </row>
    <row r="507" spans="1:14" x14ac:dyDescent="0.3">
      <c r="A507" s="2">
        <v>45295</v>
      </c>
      <c r="B507" s="3">
        <v>181.91</v>
      </c>
      <c r="C507" s="3">
        <v>48</v>
      </c>
      <c r="D507" s="3">
        <v>237.93</v>
      </c>
      <c r="E507" s="3">
        <v>33.25</v>
      </c>
      <c r="F507" s="3">
        <v>34.72</v>
      </c>
      <c r="G507" s="4">
        <v>4688.68</v>
      </c>
      <c r="I507" s="3">
        <f t="shared" si="25"/>
        <v>-1.2781471795321235E-2</v>
      </c>
      <c r="J507" s="3">
        <f t="shared" si="25"/>
        <v>8.9987004637008695E-3</v>
      </c>
      <c r="K507" s="3">
        <f t="shared" si="25"/>
        <v>-2.1831319808953103E-3</v>
      </c>
      <c r="L507" s="3">
        <f t="shared" si="25"/>
        <v>-1.9950043821839254E-2</v>
      </c>
      <c r="M507" s="3">
        <f t="shared" si="26"/>
        <v>1.7296055046895737E-3</v>
      </c>
      <c r="N507" s="3">
        <f t="shared" si="26"/>
        <v>-3.434296699869414E-3</v>
      </c>
    </row>
    <row r="508" spans="1:14" x14ac:dyDescent="0.3">
      <c r="A508" s="2">
        <v>45294</v>
      </c>
      <c r="B508" s="3">
        <v>184.25</v>
      </c>
      <c r="C508" s="3">
        <v>47.57</v>
      </c>
      <c r="D508" s="3">
        <v>238.45</v>
      </c>
      <c r="E508" s="3">
        <v>33.92</v>
      </c>
      <c r="F508" s="3">
        <v>34.659999999999997</v>
      </c>
      <c r="G508" s="4">
        <v>4704.8100000000004</v>
      </c>
      <c r="I508" s="3">
        <f t="shared" si="25"/>
        <v>-7.5157833035290516E-3</v>
      </c>
      <c r="J508" s="3">
        <f t="shared" si="25"/>
        <v>-1.2534110197939338E-2</v>
      </c>
      <c r="K508" s="3">
        <f t="shared" si="25"/>
        <v>-4.096121737181431E-2</v>
      </c>
      <c r="L508" s="3">
        <f t="shared" si="25"/>
        <v>-2.947678724364237E-4</v>
      </c>
      <c r="M508" s="3">
        <f t="shared" si="26"/>
        <v>1.1547345393967433E-3</v>
      </c>
      <c r="N508" s="3">
        <f t="shared" si="26"/>
        <v>-8.0486143089745707E-3</v>
      </c>
    </row>
    <row r="509" spans="1:14" x14ac:dyDescent="0.3">
      <c r="A509" s="2">
        <v>45293</v>
      </c>
      <c r="B509" s="3">
        <v>185.64</v>
      </c>
      <c r="C509" s="3">
        <v>48.17</v>
      </c>
      <c r="D509" s="3">
        <v>248.42</v>
      </c>
      <c r="E509" s="3">
        <v>33.93</v>
      </c>
      <c r="F509" s="3">
        <v>34.619999999999997</v>
      </c>
      <c r="G509" s="4">
        <v>4742.83</v>
      </c>
      <c r="I509" s="3">
        <f t="shared" si="25"/>
        <v>-3.6442671368269126E-2</v>
      </c>
      <c r="J509" s="3">
        <f t="shared" si="25"/>
        <v>-2.7640207734211265E-2</v>
      </c>
      <c r="K509" s="3">
        <f t="shared" si="25"/>
        <v>-2.4149728432931988E-4</v>
      </c>
      <c r="L509" s="3">
        <f t="shared" si="25"/>
        <v>-7.3410988913060063E-3</v>
      </c>
      <c r="M509" s="3">
        <f t="shared" si="26"/>
        <v>-1.4432099488689727E-3</v>
      </c>
      <c r="N509" s="3">
        <f t="shared" si="26"/>
        <v>-5.6766608929654707E-3</v>
      </c>
    </row>
    <row r="510" spans="1:14" x14ac:dyDescent="0.3">
      <c r="A510" s="2">
        <v>45289</v>
      </c>
      <c r="B510" s="3">
        <v>192.53</v>
      </c>
      <c r="C510" s="3">
        <v>49.52</v>
      </c>
      <c r="D510" s="3">
        <v>248.48</v>
      </c>
      <c r="E510" s="3">
        <v>34.18</v>
      </c>
      <c r="F510" s="3">
        <v>34.67</v>
      </c>
      <c r="G510" s="4">
        <v>4769.83</v>
      </c>
      <c r="I510" s="3">
        <f t="shared" si="25"/>
        <v>-5.4388779796984039E-3</v>
      </c>
      <c r="J510" s="3">
        <f t="shared" si="25"/>
        <v>0</v>
      </c>
      <c r="K510" s="3">
        <f t="shared" si="25"/>
        <v>-1.8738338808305364E-2</v>
      </c>
      <c r="L510" s="3">
        <f t="shared" si="25"/>
        <v>-5.8496638111467597E-4</v>
      </c>
      <c r="M510" s="3">
        <f t="shared" si="26"/>
        <v>-2.0170011160267937E-3</v>
      </c>
      <c r="N510" s="3">
        <f t="shared" si="26"/>
        <v>-2.8304729998547477E-3</v>
      </c>
    </row>
    <row r="511" spans="1:14" x14ac:dyDescent="0.3">
      <c r="A511" s="2">
        <v>45288</v>
      </c>
      <c r="B511" s="3">
        <v>193.58</v>
      </c>
      <c r="C511" s="3">
        <v>49.52</v>
      </c>
      <c r="D511" s="3">
        <v>253.18</v>
      </c>
      <c r="E511" s="3">
        <v>34.200000000000003</v>
      </c>
      <c r="F511" s="3">
        <v>34.74</v>
      </c>
      <c r="G511" s="4">
        <v>4783.3500000000004</v>
      </c>
      <c r="I511" s="3">
        <f t="shared" si="25"/>
        <v>2.2237746086522891E-3</v>
      </c>
      <c r="J511" s="3">
        <f t="shared" si="25"/>
        <v>2.0214278158766684E-3</v>
      </c>
      <c r="K511" s="3">
        <f t="shared" si="25"/>
        <v>-3.2104113462955823E-2</v>
      </c>
      <c r="L511" s="3">
        <f t="shared" si="25"/>
        <v>-8.4437828801899994E-3</v>
      </c>
      <c r="M511" s="3">
        <f t="shared" si="26"/>
        <v>2.594035177046749E-3</v>
      </c>
      <c r="N511" s="3">
        <f t="shared" si="26"/>
        <v>3.7010203319937546E-4</v>
      </c>
    </row>
    <row r="512" spans="1:14" x14ac:dyDescent="0.3">
      <c r="A512" s="2">
        <v>45287</v>
      </c>
      <c r="B512" s="3">
        <v>193.15</v>
      </c>
      <c r="C512" s="3">
        <v>49.42</v>
      </c>
      <c r="D512" s="3">
        <v>261.44</v>
      </c>
      <c r="E512" s="3">
        <v>34.49</v>
      </c>
      <c r="F512" s="3">
        <v>34.65</v>
      </c>
      <c r="G512" s="4">
        <v>4781.58</v>
      </c>
      <c r="I512" s="3">
        <f t="shared" si="25"/>
        <v>5.1786640204498299E-4</v>
      </c>
      <c r="J512" s="3">
        <f t="shared" si="25"/>
        <v>2.8368813351997567E-3</v>
      </c>
      <c r="K512" s="3">
        <f t="shared" si="25"/>
        <v>1.8647389088117389E-2</v>
      </c>
      <c r="L512" s="3">
        <f t="shared" si="25"/>
        <v>-8.3730819773874046E-3</v>
      </c>
      <c r="M512" s="3">
        <f t="shared" si="26"/>
        <v>-8.6207430439071992E-3</v>
      </c>
      <c r="N512" s="3">
        <f t="shared" si="26"/>
        <v>1.429419277681746E-3</v>
      </c>
    </row>
    <row r="513" spans="1:14" x14ac:dyDescent="0.3">
      <c r="A513" s="2">
        <v>45286</v>
      </c>
      <c r="B513" s="3">
        <v>193.05</v>
      </c>
      <c r="C513" s="3">
        <v>49.28</v>
      </c>
      <c r="D513" s="3">
        <v>256.61</v>
      </c>
      <c r="E513" s="3">
        <v>34.78</v>
      </c>
      <c r="F513" s="3">
        <v>34.950000000000003</v>
      </c>
      <c r="G513" s="4">
        <v>4774.75</v>
      </c>
      <c r="I513" s="3">
        <f t="shared" si="25"/>
        <v>-2.8449521322311392E-3</v>
      </c>
      <c r="J513" s="3">
        <f t="shared" si="25"/>
        <v>9.1734411516954384E-3</v>
      </c>
      <c r="K513" s="3">
        <f t="shared" si="25"/>
        <v>1.5987770572986455E-2</v>
      </c>
      <c r="L513" s="3">
        <f t="shared" si="25"/>
        <v>1.9158786302658805E-2</v>
      </c>
      <c r="M513" s="3">
        <f t="shared" si="26"/>
        <v>9.1981102654886022E-3</v>
      </c>
      <c r="N513" s="3">
        <f t="shared" si="26"/>
        <v>4.2227363999498384E-3</v>
      </c>
    </row>
    <row r="514" spans="1:14" x14ac:dyDescent="0.3">
      <c r="A514" s="2">
        <v>45282</v>
      </c>
      <c r="B514" s="3">
        <v>193.6</v>
      </c>
      <c r="C514" s="3">
        <v>48.83</v>
      </c>
      <c r="D514" s="3">
        <v>252.54</v>
      </c>
      <c r="E514" s="3">
        <v>34.119999999999997</v>
      </c>
      <c r="F514" s="3">
        <v>34.630000000000003</v>
      </c>
      <c r="G514" s="4">
        <v>4754.63</v>
      </c>
      <c r="I514" s="3">
        <f t="shared" si="25"/>
        <v>-5.5630101227769546E-3</v>
      </c>
      <c r="J514" s="3">
        <f t="shared" si="25"/>
        <v>-3.2713175769146555E-3</v>
      </c>
      <c r="K514" s="3">
        <f t="shared" si="25"/>
        <v>-7.731183980043169E-3</v>
      </c>
      <c r="L514" s="3">
        <f t="shared" si="25"/>
        <v>2.3474189183048913E-3</v>
      </c>
      <c r="M514" s="3">
        <f t="shared" si="26"/>
        <v>4.9211273145470906E-3</v>
      </c>
      <c r="N514" s="3">
        <f t="shared" si="26"/>
        <v>1.6587067997896167E-3</v>
      </c>
    </row>
    <row r="515" spans="1:14" x14ac:dyDescent="0.3">
      <c r="A515" s="2">
        <v>45281</v>
      </c>
      <c r="B515" s="3">
        <v>194.68</v>
      </c>
      <c r="C515" s="3">
        <v>48.99</v>
      </c>
      <c r="D515" s="3">
        <v>254.5</v>
      </c>
      <c r="E515" s="3">
        <v>34.04</v>
      </c>
      <c r="F515" s="3">
        <v>34.46</v>
      </c>
      <c r="G515" s="4">
        <v>4746.75</v>
      </c>
      <c r="I515" s="3">
        <f t="shared" si="25"/>
        <v>-7.7019849254231416E-4</v>
      </c>
      <c r="J515" s="3">
        <f t="shared" si="25"/>
        <v>1.8126139939121096E-2</v>
      </c>
      <c r="K515" s="3">
        <f t="shared" si="25"/>
        <v>2.934585831453319E-2</v>
      </c>
      <c r="L515" s="3">
        <f t="shared" ref="L515:N578" si="27">LN(E515/E516)</f>
        <v>2.9381519235897077E-4</v>
      </c>
      <c r="M515" s="3">
        <f t="shared" si="26"/>
        <v>2.9061339837290613E-3</v>
      </c>
      <c r="N515" s="3">
        <f t="shared" si="26"/>
        <v>1.024879009249407E-2</v>
      </c>
    </row>
    <row r="516" spans="1:14" x14ac:dyDescent="0.3">
      <c r="A516" s="2">
        <v>45280</v>
      </c>
      <c r="B516" s="3">
        <v>194.83</v>
      </c>
      <c r="C516" s="3">
        <v>48.11</v>
      </c>
      <c r="D516" s="3">
        <v>247.14</v>
      </c>
      <c r="E516" s="3">
        <v>34.03</v>
      </c>
      <c r="F516" s="3">
        <v>34.36</v>
      </c>
      <c r="G516" s="4">
        <v>4698.3500000000004</v>
      </c>
      <c r="I516" s="3">
        <f t="shared" ref="I516:N579" si="28">LN(B516/B517)</f>
        <v>-1.0771730361860072E-2</v>
      </c>
      <c r="J516" s="3">
        <f t="shared" si="28"/>
        <v>-3.0500778019519451E-2</v>
      </c>
      <c r="K516" s="3">
        <f t="shared" si="28"/>
        <v>-3.9976772161896504E-2</v>
      </c>
      <c r="L516" s="3">
        <f t="shared" si="27"/>
        <v>-1.1747431600608079E-3</v>
      </c>
      <c r="M516" s="3">
        <f t="shared" si="27"/>
        <v>-6.3823831390898327E-3</v>
      </c>
      <c r="N516" s="3">
        <f t="shared" si="27"/>
        <v>-1.4793144174519959E-2</v>
      </c>
    </row>
    <row r="517" spans="1:14" x14ac:dyDescent="0.3">
      <c r="A517" s="2">
        <v>45279</v>
      </c>
      <c r="B517" s="3">
        <v>196.94</v>
      </c>
      <c r="C517" s="3">
        <v>49.6</v>
      </c>
      <c r="D517" s="3">
        <v>257.22000000000003</v>
      </c>
      <c r="E517" s="3">
        <v>34.07</v>
      </c>
      <c r="F517" s="3">
        <v>34.58</v>
      </c>
      <c r="G517" s="4">
        <v>4768.37</v>
      </c>
      <c r="I517" s="3">
        <f t="shared" si="28"/>
        <v>5.345836624347039E-3</v>
      </c>
      <c r="J517" s="3">
        <f t="shared" si="28"/>
        <v>-9.630893060961189E-3</v>
      </c>
      <c r="K517" s="3">
        <f t="shared" si="28"/>
        <v>2.0185252388921545E-2</v>
      </c>
      <c r="L517" s="3">
        <f t="shared" si="27"/>
        <v>0</v>
      </c>
      <c r="M517" s="3">
        <f t="shared" si="27"/>
        <v>7.2558727855438097E-3</v>
      </c>
      <c r="N517" s="3">
        <f t="shared" si="27"/>
        <v>5.8492552349014293E-3</v>
      </c>
    </row>
    <row r="518" spans="1:14" x14ac:dyDescent="0.3">
      <c r="A518" s="2">
        <v>45278</v>
      </c>
      <c r="B518" s="3">
        <v>195.89</v>
      </c>
      <c r="C518" s="3">
        <v>50.08</v>
      </c>
      <c r="D518" s="3">
        <v>252.08</v>
      </c>
      <c r="E518" s="3">
        <v>34.07</v>
      </c>
      <c r="F518" s="3">
        <v>34.33</v>
      </c>
      <c r="G518" s="4">
        <v>4740.5600000000004</v>
      </c>
      <c r="I518" s="3">
        <f t="shared" si="28"/>
        <v>-8.5396747300047204E-3</v>
      </c>
      <c r="J518" s="3">
        <f t="shared" si="28"/>
        <v>2.4048850201288902E-2</v>
      </c>
      <c r="K518" s="3">
        <f t="shared" si="28"/>
        <v>-5.6173255822186538E-3</v>
      </c>
      <c r="L518" s="3">
        <f t="shared" si="27"/>
        <v>1.4486580023480446E-2</v>
      </c>
      <c r="M518" s="3">
        <f t="shared" si="27"/>
        <v>9.6590828534393516E-3</v>
      </c>
      <c r="N518" s="3">
        <f t="shared" si="27"/>
        <v>4.5180974872495441E-3</v>
      </c>
    </row>
    <row r="519" spans="1:14" x14ac:dyDescent="0.3">
      <c r="A519" s="2">
        <v>45275</v>
      </c>
      <c r="B519" s="3">
        <v>197.57</v>
      </c>
      <c r="C519" s="3">
        <v>48.89</v>
      </c>
      <c r="D519" s="3">
        <v>253.5</v>
      </c>
      <c r="E519" s="3">
        <v>33.58</v>
      </c>
      <c r="F519" s="3">
        <v>34</v>
      </c>
      <c r="G519" s="4">
        <v>4719.1899999999996</v>
      </c>
      <c r="I519" s="3">
        <f t="shared" si="28"/>
        <v>-2.7294800609216695E-3</v>
      </c>
      <c r="J519" s="3">
        <f t="shared" si="28"/>
        <v>1.1106654691250913E-2</v>
      </c>
      <c r="K519" s="3">
        <f t="shared" si="28"/>
        <v>9.7117005505233858E-3</v>
      </c>
      <c r="L519" s="3">
        <f t="shared" si="27"/>
        <v>1.1918952543319029E-3</v>
      </c>
      <c r="M519" s="3">
        <f t="shared" si="27"/>
        <v>4.7169898781388667E-3</v>
      </c>
      <c r="N519" s="3">
        <f t="shared" si="27"/>
        <v>-7.6281368101049259E-5</v>
      </c>
    </row>
    <row r="520" spans="1:14" x14ac:dyDescent="0.3">
      <c r="A520" s="2">
        <v>45274</v>
      </c>
      <c r="B520" s="3">
        <v>198.11</v>
      </c>
      <c r="C520" s="3">
        <v>48.35</v>
      </c>
      <c r="D520" s="3">
        <v>251.05</v>
      </c>
      <c r="E520" s="3">
        <v>33.54</v>
      </c>
      <c r="F520" s="3">
        <v>33.840000000000003</v>
      </c>
      <c r="G520" s="4">
        <v>4719.55</v>
      </c>
      <c r="I520" s="3">
        <f t="shared" si="28"/>
        <v>7.5744190254989341E-4</v>
      </c>
      <c r="J520" s="3">
        <f t="shared" si="28"/>
        <v>5.3919666097320467E-3</v>
      </c>
      <c r="K520" s="3">
        <f t="shared" si="28"/>
        <v>4.7975916989490094E-2</v>
      </c>
      <c r="L520" s="3">
        <f t="shared" si="27"/>
        <v>2.8426468022400671E-2</v>
      </c>
      <c r="M520" s="3">
        <f t="shared" si="27"/>
        <v>1.7889564750775123E-2</v>
      </c>
      <c r="N520" s="3">
        <f t="shared" si="27"/>
        <v>2.6435733742609306E-3</v>
      </c>
    </row>
    <row r="521" spans="1:14" x14ac:dyDescent="0.3">
      <c r="A521" s="2">
        <v>45273</v>
      </c>
      <c r="B521" s="3">
        <v>197.96</v>
      </c>
      <c r="C521" s="3">
        <v>48.09</v>
      </c>
      <c r="D521" s="3">
        <v>239.29</v>
      </c>
      <c r="E521" s="3">
        <v>32.6</v>
      </c>
      <c r="F521" s="3">
        <v>33.24</v>
      </c>
      <c r="G521" s="4">
        <v>4707.09</v>
      </c>
      <c r="I521" s="3">
        <f t="shared" si="28"/>
        <v>1.6553717956155536E-2</v>
      </c>
      <c r="J521" s="3">
        <f t="shared" si="28"/>
        <v>8.9817836189753919E-3</v>
      </c>
      <c r="K521" s="3">
        <f t="shared" si="28"/>
        <v>9.5738711534119926E-3</v>
      </c>
      <c r="L521" s="3">
        <f t="shared" si="27"/>
        <v>9.2450581440512089E-3</v>
      </c>
      <c r="M521" s="3">
        <f t="shared" si="27"/>
        <v>6.0186580209881243E-4</v>
      </c>
      <c r="N521" s="3">
        <f t="shared" si="27"/>
        <v>1.3558420429298217E-2</v>
      </c>
    </row>
    <row r="522" spans="1:14" x14ac:dyDescent="0.3">
      <c r="A522" s="2">
        <v>45272</v>
      </c>
      <c r="B522" s="3">
        <v>194.71</v>
      </c>
      <c r="C522" s="3">
        <v>47.66</v>
      </c>
      <c r="D522" s="3">
        <v>237.01</v>
      </c>
      <c r="E522" s="3">
        <v>32.299999999999997</v>
      </c>
      <c r="F522" s="3">
        <v>33.22</v>
      </c>
      <c r="G522" s="4">
        <v>4643.7</v>
      </c>
      <c r="I522" s="3">
        <f t="shared" si="28"/>
        <v>7.8888753763799828E-3</v>
      </c>
      <c r="J522" s="3">
        <f t="shared" si="28"/>
        <v>2.1848360850366556E-2</v>
      </c>
      <c r="K522" s="3">
        <f t="shared" si="28"/>
        <v>-1.1452668441141322E-2</v>
      </c>
      <c r="L522" s="3">
        <f t="shared" si="27"/>
        <v>-6.4805040872031386E-3</v>
      </c>
      <c r="M522" s="3">
        <f t="shared" si="27"/>
        <v>6.0222826270591909E-4</v>
      </c>
      <c r="N522" s="3">
        <f t="shared" si="27"/>
        <v>4.5887580600857377E-3</v>
      </c>
    </row>
    <row r="523" spans="1:14" x14ac:dyDescent="0.3">
      <c r="A523" s="2">
        <v>45271</v>
      </c>
      <c r="B523" s="3">
        <v>193.18</v>
      </c>
      <c r="C523" s="3">
        <v>46.63</v>
      </c>
      <c r="D523" s="3">
        <v>239.74</v>
      </c>
      <c r="E523" s="3">
        <v>32.51</v>
      </c>
      <c r="F523" s="3">
        <v>33.200000000000003</v>
      </c>
      <c r="G523" s="4">
        <v>4622.4399999999996</v>
      </c>
      <c r="I523" s="3">
        <f t="shared" si="28"/>
        <v>-1.301157496572789E-2</v>
      </c>
      <c r="J523" s="3">
        <f t="shared" si="28"/>
        <v>-1.8696104378600316E-2</v>
      </c>
      <c r="K523" s="3">
        <f t="shared" si="28"/>
        <v>-1.695726971932764E-2</v>
      </c>
      <c r="L523" s="3">
        <f t="shared" si="27"/>
        <v>8.339816677386331E-3</v>
      </c>
      <c r="M523" s="3">
        <f t="shared" si="27"/>
        <v>7.2551708811720156E-3</v>
      </c>
      <c r="N523" s="3">
        <f t="shared" si="27"/>
        <v>3.9168516750811289E-3</v>
      </c>
    </row>
    <row r="524" spans="1:14" x14ac:dyDescent="0.3">
      <c r="A524" s="2">
        <v>45268</v>
      </c>
      <c r="B524" s="3">
        <v>195.71</v>
      </c>
      <c r="C524" s="3">
        <v>47.51</v>
      </c>
      <c r="D524" s="3">
        <v>243.84</v>
      </c>
      <c r="E524" s="3">
        <v>32.24</v>
      </c>
      <c r="F524" s="3">
        <v>32.96</v>
      </c>
      <c r="G524" s="4">
        <v>4604.37</v>
      </c>
      <c r="I524" s="3">
        <f t="shared" si="28"/>
        <v>7.3850276661884184E-3</v>
      </c>
      <c r="J524" s="3">
        <f t="shared" si="28"/>
        <v>1.9339674067229619E-2</v>
      </c>
      <c r="K524" s="3">
        <f t="shared" si="28"/>
        <v>4.9334091179557716E-3</v>
      </c>
      <c r="L524" s="3">
        <f t="shared" si="27"/>
        <v>1.5945312043323369E-2</v>
      </c>
      <c r="M524" s="3">
        <f t="shared" si="27"/>
        <v>-1.6250733789749811E-2</v>
      </c>
      <c r="N524" s="3">
        <f t="shared" si="27"/>
        <v>4.0870746210065929E-3</v>
      </c>
    </row>
    <row r="525" spans="1:14" x14ac:dyDescent="0.3">
      <c r="A525" s="2">
        <v>45267</v>
      </c>
      <c r="B525" s="3">
        <v>194.27</v>
      </c>
      <c r="C525" s="3">
        <v>46.6</v>
      </c>
      <c r="D525" s="3">
        <v>242.64</v>
      </c>
      <c r="E525" s="3">
        <v>31.73</v>
      </c>
      <c r="F525" s="3">
        <v>33.5</v>
      </c>
      <c r="G525" s="4">
        <v>4585.59</v>
      </c>
      <c r="I525" s="3">
        <f t="shared" si="28"/>
        <v>1.0088292703846631E-2</v>
      </c>
      <c r="J525" s="3">
        <f t="shared" si="28"/>
        <v>2.3888215174695592E-2</v>
      </c>
      <c r="K525" s="3">
        <f t="shared" si="28"/>
        <v>1.3568391392026348E-2</v>
      </c>
      <c r="L525" s="3">
        <f t="shared" si="27"/>
        <v>-4.0886988867981982E-3</v>
      </c>
      <c r="M525" s="3">
        <f t="shared" si="27"/>
        <v>-5.9683678286163674E-4</v>
      </c>
      <c r="N525" s="3">
        <f t="shared" si="27"/>
        <v>7.9366104133129379E-3</v>
      </c>
    </row>
    <row r="526" spans="1:14" x14ac:dyDescent="0.3">
      <c r="A526" s="2">
        <v>45266</v>
      </c>
      <c r="B526" s="3">
        <v>192.32</v>
      </c>
      <c r="C526" s="3">
        <v>45.5</v>
      </c>
      <c r="D526" s="3">
        <v>239.37</v>
      </c>
      <c r="E526" s="3">
        <v>31.86</v>
      </c>
      <c r="F526" s="3">
        <v>33.520000000000003</v>
      </c>
      <c r="G526" s="4">
        <v>4549.34</v>
      </c>
      <c r="I526" s="3">
        <f t="shared" si="28"/>
        <v>-5.7033389419743862E-3</v>
      </c>
      <c r="J526" s="3">
        <f t="shared" si="28"/>
        <v>-2.3244231037381081E-2</v>
      </c>
      <c r="K526" s="3">
        <f t="shared" si="28"/>
        <v>2.7191549729031609E-3</v>
      </c>
      <c r="L526" s="3">
        <f t="shared" si="27"/>
        <v>-2.9077210908195494E-2</v>
      </c>
      <c r="M526" s="3">
        <f t="shared" si="27"/>
        <v>6.8852240269488317E-3</v>
      </c>
      <c r="N526" s="3">
        <f t="shared" si="27"/>
        <v>-3.9137791113844191E-3</v>
      </c>
    </row>
    <row r="527" spans="1:14" x14ac:dyDescent="0.3">
      <c r="A527" s="2">
        <v>45265</v>
      </c>
      <c r="B527" s="3">
        <v>193.42</v>
      </c>
      <c r="C527" s="3">
        <v>46.57</v>
      </c>
      <c r="D527" s="3">
        <v>238.72</v>
      </c>
      <c r="E527" s="3">
        <v>32.799999999999997</v>
      </c>
      <c r="F527" s="3">
        <v>33.29</v>
      </c>
      <c r="G527" s="4">
        <v>4567.18</v>
      </c>
      <c r="I527" s="3">
        <f t="shared" si="28"/>
        <v>2.0844427148629722E-2</v>
      </c>
      <c r="J527" s="3">
        <f t="shared" si="28"/>
        <v>2.3024474965735377E-2</v>
      </c>
      <c r="K527" s="3">
        <f t="shared" si="28"/>
        <v>1.3240758484757571E-2</v>
      </c>
      <c r="L527" s="3">
        <f t="shared" si="27"/>
        <v>-2.8551901928440891E-2</v>
      </c>
      <c r="M527" s="3">
        <f t="shared" si="27"/>
        <v>-1.1053137175726294E-2</v>
      </c>
      <c r="N527" s="3">
        <f t="shared" si="27"/>
        <v>-5.691170958779145E-4</v>
      </c>
    </row>
    <row r="528" spans="1:14" x14ac:dyDescent="0.3">
      <c r="A528" s="2">
        <v>45264</v>
      </c>
      <c r="B528" s="3">
        <v>189.43</v>
      </c>
      <c r="C528" s="3">
        <v>45.51</v>
      </c>
      <c r="D528" s="3">
        <v>235.58</v>
      </c>
      <c r="E528" s="3">
        <v>33.75</v>
      </c>
      <c r="F528" s="3">
        <v>33.659999999999997</v>
      </c>
      <c r="G528" s="4">
        <v>4569.78</v>
      </c>
      <c r="I528" s="3">
        <f t="shared" si="28"/>
        <v>-9.5096206177151827E-3</v>
      </c>
      <c r="J528" s="3">
        <f t="shared" si="28"/>
        <v>-2.7096054575317059E-2</v>
      </c>
      <c r="K528" s="3">
        <f t="shared" si="28"/>
        <v>-1.3701443237958076E-2</v>
      </c>
      <c r="L528" s="3">
        <f t="shared" si="27"/>
        <v>-1.1844834076597268E-3</v>
      </c>
      <c r="M528" s="3">
        <f t="shared" si="27"/>
        <v>7.7542887800050898E-3</v>
      </c>
      <c r="N528" s="3">
        <f t="shared" si="27"/>
        <v>-5.4231665551195962E-3</v>
      </c>
    </row>
    <row r="529" spans="1:14" x14ac:dyDescent="0.3">
      <c r="A529" s="2">
        <v>45261</v>
      </c>
      <c r="B529" s="3">
        <v>191.24</v>
      </c>
      <c r="C529" s="3">
        <v>46.76</v>
      </c>
      <c r="D529" s="3">
        <v>238.83</v>
      </c>
      <c r="E529" s="3">
        <v>33.79</v>
      </c>
      <c r="F529" s="3">
        <v>33.4</v>
      </c>
      <c r="G529" s="4">
        <v>4594.63</v>
      </c>
      <c r="I529" s="3">
        <f t="shared" si="28"/>
        <v>6.7683041242681341E-3</v>
      </c>
      <c r="J529" s="3">
        <f t="shared" si="28"/>
        <v>-2.1383513392729566E-4</v>
      </c>
      <c r="K529" s="3">
        <f t="shared" si="28"/>
        <v>-5.2201993635151416E-3</v>
      </c>
      <c r="L529" s="3">
        <f t="shared" si="27"/>
        <v>1.1844834076597411E-3</v>
      </c>
      <c r="M529" s="3">
        <f t="shared" si="27"/>
        <v>3.3488669754043826E-2</v>
      </c>
      <c r="N529" s="3">
        <f t="shared" si="27"/>
        <v>5.8565417006152948E-3</v>
      </c>
    </row>
    <row r="530" spans="1:14" x14ac:dyDescent="0.3">
      <c r="A530" s="2">
        <v>45260</v>
      </c>
      <c r="B530" s="3">
        <v>189.95</v>
      </c>
      <c r="C530" s="3">
        <v>46.77</v>
      </c>
      <c r="D530" s="3">
        <v>240.08</v>
      </c>
      <c r="E530" s="3">
        <v>33.75</v>
      </c>
      <c r="F530" s="3">
        <v>32.299999999999997</v>
      </c>
      <c r="G530" s="4">
        <v>4567.8</v>
      </c>
      <c r="I530" s="3">
        <f t="shared" si="28"/>
        <v>3.0581063588208724E-3</v>
      </c>
      <c r="J530" s="3">
        <f t="shared" si="28"/>
        <v>-2.8871460617131042E-2</v>
      </c>
      <c r="K530" s="3">
        <f t="shared" si="28"/>
        <v>-1.6769630109541842E-2</v>
      </c>
      <c r="L530" s="3">
        <f t="shared" si="27"/>
        <v>1.2222539995890729E-2</v>
      </c>
      <c r="M530" s="3">
        <f t="shared" si="27"/>
        <v>1.7804624633506468E-2</v>
      </c>
      <c r="N530" s="3">
        <f t="shared" si="27"/>
        <v>3.7769911916856066E-3</v>
      </c>
    </row>
    <row r="531" spans="1:14" x14ac:dyDescent="0.3">
      <c r="A531" s="2">
        <v>45259</v>
      </c>
      <c r="B531" s="3">
        <v>189.37</v>
      </c>
      <c r="C531" s="3">
        <v>48.14</v>
      </c>
      <c r="D531" s="3">
        <v>244.14</v>
      </c>
      <c r="E531" s="3">
        <v>33.340000000000003</v>
      </c>
      <c r="F531" s="3">
        <v>31.73</v>
      </c>
      <c r="G531" s="4">
        <v>4550.58</v>
      </c>
      <c r="I531" s="3">
        <f t="shared" si="28"/>
        <v>-5.4243490824511988E-3</v>
      </c>
      <c r="J531" s="3">
        <f t="shared" si="28"/>
        <v>6.6694703247471999E-3</v>
      </c>
      <c r="K531" s="3">
        <f t="shared" si="28"/>
        <v>-1.0512259133311158E-2</v>
      </c>
      <c r="L531" s="3">
        <f t="shared" si="27"/>
        <v>-1.429446614778619E-2</v>
      </c>
      <c r="M531" s="3">
        <f t="shared" si="27"/>
        <v>-1.0034577771574758E-2</v>
      </c>
      <c r="N531" s="3">
        <f t="shared" si="27"/>
        <v>-9.4668376742538802E-4</v>
      </c>
    </row>
    <row r="532" spans="1:14" x14ac:dyDescent="0.3">
      <c r="A532" s="2">
        <v>45258</v>
      </c>
      <c r="B532" s="3">
        <v>190.4</v>
      </c>
      <c r="C532" s="3">
        <v>47.82</v>
      </c>
      <c r="D532" s="3">
        <v>246.72</v>
      </c>
      <c r="E532" s="3">
        <v>33.82</v>
      </c>
      <c r="F532" s="3">
        <v>32.049999999999997</v>
      </c>
      <c r="G532" s="4">
        <v>4554.8900000000003</v>
      </c>
      <c r="I532" s="3">
        <f t="shared" si="28"/>
        <v>3.2089246084366536E-3</v>
      </c>
      <c r="J532" s="3">
        <f t="shared" si="28"/>
        <v>-8.7445903887513748E-3</v>
      </c>
      <c r="K532" s="3">
        <f t="shared" si="28"/>
        <v>4.4083359740280721E-2</v>
      </c>
      <c r="L532" s="3">
        <f t="shared" si="27"/>
        <v>-4.4254387020582243E-3</v>
      </c>
      <c r="M532" s="3">
        <f t="shared" si="27"/>
        <v>3.4380405798124358E-3</v>
      </c>
      <c r="N532" s="3">
        <f t="shared" si="27"/>
        <v>9.7964714182290037E-4</v>
      </c>
    </row>
    <row r="533" spans="1:14" x14ac:dyDescent="0.3">
      <c r="A533" s="2">
        <v>45257</v>
      </c>
      <c r="B533" s="3">
        <v>189.79</v>
      </c>
      <c r="C533" s="3">
        <v>48.24</v>
      </c>
      <c r="D533" s="3">
        <v>236.08</v>
      </c>
      <c r="E533" s="3">
        <v>33.97</v>
      </c>
      <c r="F533" s="3">
        <v>31.94</v>
      </c>
      <c r="G533" s="4">
        <v>4550.43</v>
      </c>
      <c r="I533" s="3">
        <f t="shared" si="28"/>
        <v>-9.4796720812947511E-4</v>
      </c>
      <c r="J533" s="3">
        <f t="shared" si="28"/>
        <v>9.5814105212666117E-3</v>
      </c>
      <c r="K533" s="3">
        <f t="shared" si="28"/>
        <v>2.6721539451204095E-3</v>
      </c>
      <c r="L533" s="3">
        <f t="shared" si="27"/>
        <v>2.3577965535324309E-3</v>
      </c>
      <c r="M533" s="3">
        <f t="shared" si="27"/>
        <v>-2.1679387309039806E-2</v>
      </c>
      <c r="N533" s="3">
        <f t="shared" si="27"/>
        <v>-1.9561422168003027E-3</v>
      </c>
    </row>
    <row r="534" spans="1:14" x14ac:dyDescent="0.3">
      <c r="A534" s="2">
        <v>45254</v>
      </c>
      <c r="B534" s="3">
        <v>189.97</v>
      </c>
      <c r="C534" s="3">
        <v>47.78</v>
      </c>
      <c r="D534" s="3">
        <v>235.45</v>
      </c>
      <c r="E534" s="3">
        <v>33.89</v>
      </c>
      <c r="F534" s="3">
        <v>32.64</v>
      </c>
      <c r="G534" s="4">
        <v>4559.34</v>
      </c>
      <c r="I534" s="3">
        <f t="shared" si="28"/>
        <v>-7.0289840383322283E-3</v>
      </c>
      <c r="J534" s="3">
        <f t="shared" si="28"/>
        <v>-1.9482481503978112E-2</v>
      </c>
      <c r="K534" s="3">
        <f t="shared" si="28"/>
        <v>5.2804278892543037E-3</v>
      </c>
      <c r="L534" s="3">
        <f t="shared" si="27"/>
        <v>9.1893339695652623E-3</v>
      </c>
      <c r="M534" s="3">
        <f t="shared" si="27"/>
        <v>2.7611614413280655E-3</v>
      </c>
      <c r="N534" s="3">
        <f t="shared" si="27"/>
        <v>5.9675559803246874E-4</v>
      </c>
    </row>
    <row r="535" spans="1:14" x14ac:dyDescent="0.3">
      <c r="A535" s="2">
        <v>45252</v>
      </c>
      <c r="B535" s="3">
        <v>191.31</v>
      </c>
      <c r="C535" s="3">
        <v>48.72</v>
      </c>
      <c r="D535" s="3">
        <v>234.21</v>
      </c>
      <c r="E535" s="3">
        <v>33.58</v>
      </c>
      <c r="F535" s="3">
        <v>32.549999999999997</v>
      </c>
      <c r="G535" s="4">
        <v>4556.62</v>
      </c>
      <c r="I535" s="3">
        <f t="shared" si="28"/>
        <v>3.5083162048033414E-3</v>
      </c>
      <c r="J535" s="3">
        <f t="shared" si="28"/>
        <v>-2.4732661449985503E-2</v>
      </c>
      <c r="K535" s="3">
        <f t="shared" si="28"/>
        <v>-2.9408316052721026E-2</v>
      </c>
      <c r="L535" s="3">
        <f t="shared" si="27"/>
        <v>-9.7793044881524446E-3</v>
      </c>
      <c r="M535" s="3">
        <f t="shared" si="27"/>
        <v>9.2593254127967262E-3</v>
      </c>
      <c r="N535" s="3">
        <f t="shared" si="27"/>
        <v>4.0528664649777243E-3</v>
      </c>
    </row>
    <row r="536" spans="1:14" x14ac:dyDescent="0.3">
      <c r="A536" s="2">
        <v>45251</v>
      </c>
      <c r="B536" s="3">
        <v>190.64</v>
      </c>
      <c r="C536" s="3">
        <v>49.94</v>
      </c>
      <c r="D536" s="3">
        <v>241.2</v>
      </c>
      <c r="E536" s="3">
        <v>33.909999999999997</v>
      </c>
      <c r="F536" s="3">
        <v>32.25</v>
      </c>
      <c r="G536" s="4">
        <v>4538.1899999999996</v>
      </c>
      <c r="I536" s="3">
        <f t="shared" si="28"/>
        <v>-4.2398451328168225E-3</v>
      </c>
      <c r="J536" s="3">
        <f t="shared" si="28"/>
        <v>-9.3672832429123071E-3</v>
      </c>
      <c r="K536" s="3">
        <f t="shared" si="28"/>
        <v>2.3491013075598737E-2</v>
      </c>
      <c r="L536" s="3">
        <f t="shared" si="27"/>
        <v>1.1802893078669626E-3</v>
      </c>
      <c r="M536" s="3">
        <f t="shared" si="27"/>
        <v>5.9088960603745277E-3</v>
      </c>
      <c r="N536" s="3">
        <f t="shared" si="27"/>
        <v>-2.0229887908321687E-3</v>
      </c>
    </row>
    <row r="537" spans="1:14" x14ac:dyDescent="0.3">
      <c r="A537" s="2">
        <v>45250</v>
      </c>
      <c r="B537" s="3">
        <v>191.45</v>
      </c>
      <c r="C537" s="3">
        <v>50.41</v>
      </c>
      <c r="D537" s="3">
        <v>235.6</v>
      </c>
      <c r="E537" s="3">
        <v>33.869999999999997</v>
      </c>
      <c r="F537" s="3">
        <v>32.06</v>
      </c>
      <c r="G537" s="4">
        <v>4547.38</v>
      </c>
      <c r="I537" s="3">
        <f t="shared" si="28"/>
        <v>9.2355171846718407E-3</v>
      </c>
      <c r="J537" s="3">
        <f t="shared" si="28"/>
        <v>2.2265487045894934E-2</v>
      </c>
      <c r="K537" s="3">
        <f t="shared" si="28"/>
        <v>5.5331062636816072E-3</v>
      </c>
      <c r="L537" s="3">
        <f t="shared" si="27"/>
        <v>4.7351375837108916E-3</v>
      </c>
      <c r="M537" s="3">
        <f t="shared" si="27"/>
        <v>1.3819315400080936E-2</v>
      </c>
      <c r="N537" s="3">
        <f t="shared" si="27"/>
        <v>7.3631338909269815E-3</v>
      </c>
    </row>
    <row r="538" spans="1:14" x14ac:dyDescent="0.3">
      <c r="A538" s="2">
        <v>45247</v>
      </c>
      <c r="B538" s="3">
        <v>189.69</v>
      </c>
      <c r="C538" s="3">
        <v>49.3</v>
      </c>
      <c r="D538" s="3">
        <v>234.3</v>
      </c>
      <c r="E538" s="3">
        <v>33.71</v>
      </c>
      <c r="F538" s="3">
        <v>31.62</v>
      </c>
      <c r="G538" s="4">
        <v>4514.0200000000004</v>
      </c>
      <c r="I538" s="3">
        <f t="shared" si="28"/>
        <v>-1.0542962582250905E-4</v>
      </c>
      <c r="J538" s="3">
        <f t="shared" si="28"/>
        <v>-3.6444664756427173E-3</v>
      </c>
      <c r="K538" s="3">
        <f t="shared" si="28"/>
        <v>3.0349036951541112E-3</v>
      </c>
      <c r="L538" s="3">
        <f t="shared" si="27"/>
        <v>1.4040559258721823E-2</v>
      </c>
      <c r="M538" s="3">
        <f t="shared" si="27"/>
        <v>9.213726817225782E-3</v>
      </c>
      <c r="N538" s="3">
        <f t="shared" si="27"/>
        <v>1.2812755985166719E-3</v>
      </c>
    </row>
    <row r="539" spans="1:14" x14ac:dyDescent="0.3">
      <c r="A539" s="2">
        <v>45246</v>
      </c>
      <c r="B539" s="3">
        <v>189.71</v>
      </c>
      <c r="C539" s="3">
        <v>49.48</v>
      </c>
      <c r="D539" s="3">
        <v>233.59</v>
      </c>
      <c r="E539" s="3">
        <v>33.24</v>
      </c>
      <c r="F539" s="3">
        <v>31.33</v>
      </c>
      <c r="G539" s="4">
        <v>4508.24</v>
      </c>
      <c r="I539" s="3">
        <f t="shared" si="28"/>
        <v>9.0014374597603957E-3</v>
      </c>
      <c r="J539" s="3">
        <f t="shared" si="28"/>
        <v>1.1995670933732829E-2</v>
      </c>
      <c r="K539" s="3">
        <f t="shared" si="28"/>
        <v>-3.8835348443637403E-2</v>
      </c>
      <c r="L539" s="3">
        <f t="shared" si="27"/>
        <v>-4.1832314300212455E-2</v>
      </c>
      <c r="M539" s="3">
        <f t="shared" si="27"/>
        <v>1.0911533164443502E-2</v>
      </c>
      <c r="N539" s="3">
        <f t="shared" si="27"/>
        <v>1.1896413835666805E-3</v>
      </c>
    </row>
    <row r="540" spans="1:14" x14ac:dyDescent="0.3">
      <c r="A540" s="2">
        <v>45245</v>
      </c>
      <c r="B540" s="3">
        <v>188.01</v>
      </c>
      <c r="C540" s="3">
        <v>48.89</v>
      </c>
      <c r="D540" s="3">
        <v>242.84</v>
      </c>
      <c r="E540" s="3">
        <v>34.659999999999997</v>
      </c>
      <c r="F540" s="3">
        <v>30.99</v>
      </c>
      <c r="G540" s="4">
        <v>4502.88</v>
      </c>
      <c r="I540" s="3">
        <f t="shared" si="28"/>
        <v>3.0363587051535548E-3</v>
      </c>
      <c r="J540" s="3">
        <f t="shared" si="28"/>
        <v>-1.5626903489466298E-2</v>
      </c>
      <c r="K540" s="3">
        <f t="shared" si="28"/>
        <v>2.2614185974656708E-2</v>
      </c>
      <c r="L540" s="3">
        <f t="shared" si="27"/>
        <v>-1.1534026653536183E-3</v>
      </c>
      <c r="M540" s="3">
        <f t="shared" si="27"/>
        <v>-3.8647391098888327E-3</v>
      </c>
      <c r="N540" s="3">
        <f t="shared" si="27"/>
        <v>1.5958076771483444E-3</v>
      </c>
    </row>
    <row r="541" spans="1:14" x14ac:dyDescent="0.3">
      <c r="A541" s="2">
        <v>45244</v>
      </c>
      <c r="B541" s="3">
        <v>187.44</v>
      </c>
      <c r="C541" s="3">
        <v>49.66</v>
      </c>
      <c r="D541" s="3">
        <v>237.41</v>
      </c>
      <c r="E541" s="3">
        <v>34.700000000000003</v>
      </c>
      <c r="F541" s="3">
        <v>31.11</v>
      </c>
      <c r="G541" s="4">
        <v>4495.7</v>
      </c>
      <c r="I541" s="3">
        <f t="shared" si="28"/>
        <v>1.4184634991956381E-2</v>
      </c>
      <c r="J541" s="3">
        <f t="shared" si="28"/>
        <v>2.1164811192043331E-2</v>
      </c>
      <c r="K541" s="3">
        <f t="shared" si="28"/>
        <v>5.9438034063763488E-2</v>
      </c>
      <c r="L541" s="3">
        <f t="shared" si="27"/>
        <v>6.6503064240396956E-3</v>
      </c>
      <c r="M541" s="3">
        <f t="shared" si="27"/>
        <v>2.1443316753639727E-2</v>
      </c>
      <c r="N541" s="3">
        <f t="shared" si="27"/>
        <v>1.8895282757298078E-2</v>
      </c>
    </row>
    <row r="542" spans="1:14" x14ac:dyDescent="0.3">
      <c r="A542" s="2">
        <v>45243</v>
      </c>
      <c r="B542" s="3">
        <v>184.8</v>
      </c>
      <c r="C542" s="3">
        <v>48.62</v>
      </c>
      <c r="D542" s="3">
        <v>223.71</v>
      </c>
      <c r="E542" s="3">
        <v>34.47</v>
      </c>
      <c r="F542" s="3">
        <v>30.45</v>
      </c>
      <c r="G542" s="4">
        <v>4411.55</v>
      </c>
      <c r="I542" s="3">
        <f t="shared" si="28"/>
        <v>-8.6207430439069754E-3</v>
      </c>
      <c r="J542" s="3">
        <f t="shared" si="28"/>
        <v>5.9824830309846847E-3</v>
      </c>
      <c r="K542" s="3">
        <f t="shared" si="28"/>
        <v>4.1341775553243573E-2</v>
      </c>
      <c r="L542" s="3">
        <f t="shared" si="27"/>
        <v>3.7785250594444576E-3</v>
      </c>
      <c r="M542" s="3">
        <f t="shared" si="27"/>
        <v>-8.1766604372454435E-3</v>
      </c>
      <c r="N542" s="3">
        <f t="shared" si="27"/>
        <v>-8.3609108519786131E-4</v>
      </c>
    </row>
    <row r="543" spans="1:14" x14ac:dyDescent="0.3">
      <c r="A543" s="2">
        <v>45240</v>
      </c>
      <c r="B543" s="3">
        <v>186.4</v>
      </c>
      <c r="C543" s="3">
        <v>48.33</v>
      </c>
      <c r="D543" s="3">
        <v>214.65</v>
      </c>
      <c r="E543" s="3">
        <v>34.340000000000003</v>
      </c>
      <c r="F543" s="3">
        <v>30.7</v>
      </c>
      <c r="G543" s="4">
        <v>4415.24</v>
      </c>
      <c r="I543" s="3">
        <f t="shared" si="28"/>
        <v>2.1638001552667766E-2</v>
      </c>
      <c r="J543" s="3">
        <f t="shared" si="28"/>
        <v>2.8969280202720771E-2</v>
      </c>
      <c r="K543" s="3">
        <f t="shared" si="28"/>
        <v>2.1996506583774431E-2</v>
      </c>
      <c r="L543" s="3">
        <f t="shared" si="27"/>
        <v>1.2306044545627153E-2</v>
      </c>
      <c r="M543" s="3">
        <f t="shared" si="27"/>
        <v>1.7414601422181715E-2</v>
      </c>
      <c r="N543" s="3">
        <f t="shared" si="27"/>
        <v>1.5495728650985885E-2</v>
      </c>
    </row>
    <row r="544" spans="1:14" x14ac:dyDescent="0.3">
      <c r="A544" s="2">
        <v>45239</v>
      </c>
      <c r="B544" s="3">
        <v>182.41</v>
      </c>
      <c r="C544" s="3">
        <v>46.95</v>
      </c>
      <c r="D544" s="3">
        <v>209.98</v>
      </c>
      <c r="E544" s="3">
        <v>33.92</v>
      </c>
      <c r="F544" s="3">
        <v>30.17</v>
      </c>
      <c r="G544" s="4">
        <v>4347.3500000000004</v>
      </c>
      <c r="I544" s="3">
        <f t="shared" si="28"/>
        <v>-2.6279785176610655E-3</v>
      </c>
      <c r="J544" s="3">
        <f t="shared" si="28"/>
        <v>8.126648659986099E-3</v>
      </c>
      <c r="K544" s="3">
        <f t="shared" si="28"/>
        <v>-5.6160466563622363E-2</v>
      </c>
      <c r="L544" s="3">
        <f t="shared" si="27"/>
        <v>5.3207338058800617E-3</v>
      </c>
      <c r="M544" s="3">
        <f t="shared" si="27"/>
        <v>-6.607225886687669E-3</v>
      </c>
      <c r="N544" s="3">
        <f t="shared" si="27"/>
        <v>-8.1167621824379983E-3</v>
      </c>
    </row>
    <row r="545" spans="1:14" x14ac:dyDescent="0.3">
      <c r="A545" s="2">
        <v>45238</v>
      </c>
      <c r="B545" s="3">
        <v>182.89</v>
      </c>
      <c r="C545" s="3">
        <v>46.57</v>
      </c>
      <c r="D545" s="3">
        <v>222.11</v>
      </c>
      <c r="E545" s="3">
        <v>33.74</v>
      </c>
      <c r="F545" s="3">
        <v>30.37</v>
      </c>
      <c r="G545" s="4">
        <v>4382.78</v>
      </c>
      <c r="I545" s="3">
        <f t="shared" si="28"/>
        <v>5.8676925227720564E-3</v>
      </c>
      <c r="J545" s="3">
        <f t="shared" si="28"/>
        <v>1.3185104013730912E-2</v>
      </c>
      <c r="K545" s="3">
        <f t="shared" si="28"/>
        <v>-3.151095031587441E-4</v>
      </c>
      <c r="L545" s="3">
        <f t="shared" si="27"/>
        <v>-3.5502995871669364E-3</v>
      </c>
      <c r="M545" s="3">
        <f t="shared" si="27"/>
        <v>6.587615521501637E-4</v>
      </c>
      <c r="N545" s="3">
        <f t="shared" si="27"/>
        <v>1.0044332873557552E-3</v>
      </c>
    </row>
    <row r="546" spans="1:14" x14ac:dyDescent="0.3">
      <c r="A546" s="2">
        <v>45237</v>
      </c>
      <c r="B546" s="3">
        <v>181.82</v>
      </c>
      <c r="C546" s="3">
        <v>45.96</v>
      </c>
      <c r="D546" s="3">
        <v>222.18</v>
      </c>
      <c r="E546" s="3">
        <v>33.86</v>
      </c>
      <c r="F546" s="3">
        <v>30.35</v>
      </c>
      <c r="G546" s="4">
        <v>4378.38</v>
      </c>
      <c r="I546" s="3">
        <f t="shared" si="28"/>
        <v>1.4347289450206285E-2</v>
      </c>
      <c r="J546" s="3">
        <f t="shared" si="28"/>
        <v>4.579661259024731E-3</v>
      </c>
      <c r="K546" s="3">
        <f t="shared" si="28"/>
        <v>1.3184016993166188E-2</v>
      </c>
      <c r="L546" s="3">
        <f t="shared" si="27"/>
        <v>-3.1397928000921164E-2</v>
      </c>
      <c r="M546" s="3">
        <f t="shared" si="27"/>
        <v>-9.87979662119469E-4</v>
      </c>
      <c r="N546" s="3">
        <f t="shared" si="27"/>
        <v>2.8361156932399829E-3</v>
      </c>
    </row>
    <row r="547" spans="1:14" x14ac:dyDescent="0.3">
      <c r="A547" s="2">
        <v>45236</v>
      </c>
      <c r="B547" s="3">
        <v>179.23</v>
      </c>
      <c r="C547" s="3">
        <v>45.75</v>
      </c>
      <c r="D547" s="3">
        <v>219.27</v>
      </c>
      <c r="E547" s="3">
        <v>34.94</v>
      </c>
      <c r="F547" s="3">
        <v>30.38</v>
      </c>
      <c r="G547" s="4">
        <v>4365.9799999999996</v>
      </c>
      <c r="I547" s="3">
        <f t="shared" si="28"/>
        <v>1.4499523438351727E-2</v>
      </c>
      <c r="J547" s="3">
        <f t="shared" si="28"/>
        <v>1.6307104416688967E-2</v>
      </c>
      <c r="K547" s="3">
        <f t="shared" si="28"/>
        <v>-3.1418644792039659E-3</v>
      </c>
      <c r="L547" s="3">
        <f t="shared" si="27"/>
        <v>-7.1296466275832786E-3</v>
      </c>
      <c r="M547" s="3">
        <f t="shared" si="27"/>
        <v>-6.5811124454919043E-4</v>
      </c>
      <c r="N547" s="3">
        <f t="shared" si="27"/>
        <v>1.7514263468030517E-3</v>
      </c>
    </row>
    <row r="548" spans="1:14" x14ac:dyDescent="0.3">
      <c r="A548" s="2">
        <v>45233</v>
      </c>
      <c r="B548" s="3">
        <v>176.65</v>
      </c>
      <c r="C548" s="3">
        <v>45.01</v>
      </c>
      <c r="D548" s="3">
        <v>219.96</v>
      </c>
      <c r="E548" s="3">
        <v>35.19</v>
      </c>
      <c r="F548" s="3">
        <v>30.4</v>
      </c>
      <c r="G548" s="4">
        <v>4358.34</v>
      </c>
      <c r="I548" s="3">
        <f t="shared" si="28"/>
        <v>-5.1945235655890959E-3</v>
      </c>
      <c r="J548" s="3">
        <f t="shared" si="28"/>
        <v>3.3893890572252582E-2</v>
      </c>
      <c r="K548" s="3">
        <f t="shared" si="28"/>
        <v>6.6139315608386836E-3</v>
      </c>
      <c r="L548" s="3">
        <f t="shared" si="27"/>
        <v>-9.0523956215027429E-3</v>
      </c>
      <c r="M548" s="3">
        <f t="shared" si="27"/>
        <v>3.290014834742405E-4</v>
      </c>
      <c r="N548" s="3">
        <f t="shared" si="27"/>
        <v>9.3498696374369732E-3</v>
      </c>
    </row>
    <row r="549" spans="1:14" x14ac:dyDescent="0.3">
      <c r="A549" s="2">
        <v>45232</v>
      </c>
      <c r="B549" s="3">
        <v>177.57</v>
      </c>
      <c r="C549" s="3">
        <v>43.51</v>
      </c>
      <c r="D549" s="3">
        <v>218.51</v>
      </c>
      <c r="E549" s="3">
        <v>35.51</v>
      </c>
      <c r="F549" s="3">
        <v>30.39</v>
      </c>
      <c r="G549" s="4">
        <v>4317.78</v>
      </c>
      <c r="I549" s="3">
        <f t="shared" si="28"/>
        <v>2.0482026814284352E-2</v>
      </c>
      <c r="J549" s="3">
        <f t="shared" si="28"/>
        <v>2.7494742199756381E-2</v>
      </c>
      <c r="K549" s="3">
        <f t="shared" si="28"/>
        <v>6.0607460277730889E-2</v>
      </c>
      <c r="L549" s="3">
        <f t="shared" si="27"/>
        <v>1.9048194970694411E-2</v>
      </c>
      <c r="M549" s="3">
        <f t="shared" si="27"/>
        <v>2.7353273064315838E-2</v>
      </c>
      <c r="N549" s="3">
        <f t="shared" si="27"/>
        <v>1.8682956430735833E-2</v>
      </c>
    </row>
    <row r="550" spans="1:14" x14ac:dyDescent="0.3">
      <c r="A550" s="2">
        <v>45231</v>
      </c>
      <c r="B550" s="3">
        <v>173.97</v>
      </c>
      <c r="C550" s="3">
        <v>42.33</v>
      </c>
      <c r="D550" s="3">
        <v>205.66</v>
      </c>
      <c r="E550" s="3">
        <v>34.840000000000003</v>
      </c>
      <c r="F550" s="3">
        <v>29.57</v>
      </c>
      <c r="G550" s="4">
        <v>4237.8599999999997</v>
      </c>
      <c r="I550" s="3">
        <f t="shared" si="28"/>
        <v>1.8565248657311163E-2</v>
      </c>
      <c r="J550" s="3">
        <f t="shared" si="28"/>
        <v>3.7304289386523158E-2</v>
      </c>
      <c r="K550" s="3">
        <f t="shared" si="28"/>
        <v>2.3715748634539853E-2</v>
      </c>
      <c r="L550" s="3">
        <f t="shared" si="27"/>
        <v>1.2128361200908797E-2</v>
      </c>
      <c r="M550" s="3">
        <f t="shared" si="27"/>
        <v>-9.4245059742252696E-3</v>
      </c>
      <c r="N550" s="3">
        <f t="shared" si="27"/>
        <v>1.0451180679737281E-2</v>
      </c>
    </row>
    <row r="551" spans="1:14" x14ac:dyDescent="0.3">
      <c r="A551" s="2">
        <v>45230</v>
      </c>
      <c r="B551" s="3">
        <v>170.77</v>
      </c>
      <c r="C551" s="3">
        <v>40.78</v>
      </c>
      <c r="D551" s="3">
        <v>200.84</v>
      </c>
      <c r="E551" s="3">
        <v>34.42</v>
      </c>
      <c r="F551" s="3">
        <v>29.85</v>
      </c>
      <c r="G551" s="4">
        <v>4193.8</v>
      </c>
      <c r="I551" s="3">
        <f t="shared" si="28"/>
        <v>2.8147558606344122E-3</v>
      </c>
      <c r="J551" s="3">
        <f t="shared" si="28"/>
        <v>-9.2751458195396066E-3</v>
      </c>
      <c r="K551" s="3">
        <f t="shared" si="28"/>
        <v>1.7479098945403379E-2</v>
      </c>
      <c r="L551" s="3">
        <f t="shared" si="27"/>
        <v>-1.5566760003941272E-2</v>
      </c>
      <c r="M551" s="3">
        <f t="shared" si="27"/>
        <v>1.5190165493975238E-2</v>
      </c>
      <c r="N551" s="3">
        <f t="shared" si="27"/>
        <v>6.4540892074659807E-3</v>
      </c>
    </row>
    <row r="552" spans="1:14" x14ac:dyDescent="0.3">
      <c r="A552" s="2">
        <v>45229</v>
      </c>
      <c r="B552" s="3">
        <v>170.29</v>
      </c>
      <c r="C552" s="3">
        <v>41.16</v>
      </c>
      <c r="D552" s="3">
        <v>197.36</v>
      </c>
      <c r="E552" s="3">
        <v>34.96</v>
      </c>
      <c r="F552" s="3">
        <v>29.4</v>
      </c>
      <c r="G552" s="4">
        <v>4166.82</v>
      </c>
      <c r="I552" s="3">
        <f t="shared" si="28"/>
        <v>1.2230219504221885E-2</v>
      </c>
      <c r="J552" s="3">
        <f t="shared" si="28"/>
        <v>1.616493685335536E-2</v>
      </c>
      <c r="K552" s="3">
        <f t="shared" si="28"/>
        <v>-4.9137547220632662E-2</v>
      </c>
      <c r="L552" s="3">
        <f t="shared" si="27"/>
        <v>4.2998489639872227E-3</v>
      </c>
      <c r="M552" s="3">
        <f t="shared" si="27"/>
        <v>5.4570394630581174E-3</v>
      </c>
      <c r="N552" s="3">
        <f t="shared" si="27"/>
        <v>1.1938544947970331E-2</v>
      </c>
    </row>
    <row r="553" spans="1:14" x14ac:dyDescent="0.3">
      <c r="A553" s="2">
        <v>45226</v>
      </c>
      <c r="B553" s="3">
        <v>168.22</v>
      </c>
      <c r="C553" s="3">
        <v>40.5</v>
      </c>
      <c r="D553" s="3">
        <v>207.3</v>
      </c>
      <c r="E553" s="3">
        <v>34.81</v>
      </c>
      <c r="F553" s="3">
        <v>29.24</v>
      </c>
      <c r="G553" s="4">
        <v>4117.37</v>
      </c>
      <c r="I553" s="3">
        <f t="shared" si="28"/>
        <v>7.937733778979876E-3</v>
      </c>
      <c r="J553" s="3">
        <f t="shared" si="28"/>
        <v>4.2063652272166241E-3</v>
      </c>
      <c r="K553" s="3">
        <f t="shared" si="28"/>
        <v>7.4565783924795351E-3</v>
      </c>
      <c r="L553" s="3">
        <f t="shared" si="27"/>
        <v>-6.0146250343583356E-3</v>
      </c>
      <c r="M553" s="3">
        <f t="shared" si="27"/>
        <v>-1.1898831530540617E-2</v>
      </c>
      <c r="N553" s="3">
        <f t="shared" si="27"/>
        <v>-4.811871761208667E-3</v>
      </c>
    </row>
    <row r="554" spans="1:14" x14ac:dyDescent="0.3">
      <c r="A554" s="2">
        <v>45225</v>
      </c>
      <c r="B554" s="3">
        <v>166.89</v>
      </c>
      <c r="C554" s="3">
        <v>40.33</v>
      </c>
      <c r="D554" s="3">
        <v>205.76</v>
      </c>
      <c r="E554" s="3">
        <v>35.020000000000003</v>
      </c>
      <c r="F554" s="3">
        <v>29.59</v>
      </c>
      <c r="G554" s="4">
        <v>4137.2299999999996</v>
      </c>
      <c r="I554" s="3">
        <f t="shared" si="28"/>
        <v>-2.4913268142836346E-2</v>
      </c>
      <c r="J554" s="3">
        <f t="shared" si="28"/>
        <v>-3.5322147243143025E-2</v>
      </c>
      <c r="K554" s="3">
        <f t="shared" si="28"/>
        <v>-3.1855005844139E-2</v>
      </c>
      <c r="L554" s="3">
        <f t="shared" si="27"/>
        <v>2.8970739889990053E-2</v>
      </c>
      <c r="M554" s="3">
        <f t="shared" si="27"/>
        <v>-3.3789491789648618E-4</v>
      </c>
      <c r="N554" s="3">
        <f t="shared" si="27"/>
        <v>-1.1903071819740901E-2</v>
      </c>
    </row>
    <row r="555" spans="1:14" x14ac:dyDescent="0.3">
      <c r="A555" s="2">
        <v>45224</v>
      </c>
      <c r="B555" s="3">
        <v>171.1</v>
      </c>
      <c r="C555" s="3">
        <v>41.78</v>
      </c>
      <c r="D555" s="3">
        <v>212.42</v>
      </c>
      <c r="E555" s="3">
        <v>34.020000000000003</v>
      </c>
      <c r="F555" s="3">
        <v>29.6</v>
      </c>
      <c r="G555" s="4">
        <v>4186.7700000000004</v>
      </c>
      <c r="I555" s="3">
        <f t="shared" si="28"/>
        <v>-1.3583537353133628E-2</v>
      </c>
      <c r="J555" s="3">
        <f t="shared" si="28"/>
        <v>-4.401459499337796E-2</v>
      </c>
      <c r="K555" s="3">
        <f t="shared" si="28"/>
        <v>-1.9117475035383642E-2</v>
      </c>
      <c r="L555" s="3">
        <f t="shared" si="27"/>
        <v>-1.3430858827776457E-2</v>
      </c>
      <c r="M555" s="3">
        <f t="shared" si="27"/>
        <v>-2.6990569691649467E-3</v>
      </c>
      <c r="N555" s="3">
        <f t="shared" si="27"/>
        <v>-1.4443397939346892E-2</v>
      </c>
    </row>
    <row r="556" spans="1:14" x14ac:dyDescent="0.3">
      <c r="A556" s="2">
        <v>45223</v>
      </c>
      <c r="B556" s="3">
        <v>173.44</v>
      </c>
      <c r="C556" s="3">
        <v>43.66</v>
      </c>
      <c r="D556" s="3">
        <v>216.52</v>
      </c>
      <c r="E556" s="3">
        <v>34.479999999999997</v>
      </c>
      <c r="F556" s="3">
        <v>29.68</v>
      </c>
      <c r="G556" s="4">
        <v>4247.68</v>
      </c>
      <c r="I556" s="3">
        <f t="shared" si="28"/>
        <v>2.5401237535023851E-3</v>
      </c>
      <c r="J556" s="3">
        <f t="shared" si="28"/>
        <v>1.5930153334894039E-2</v>
      </c>
      <c r="K556" s="3">
        <f t="shared" si="28"/>
        <v>2.0719359948007072E-2</v>
      </c>
      <c r="L556" s="3">
        <f t="shared" si="27"/>
        <v>-5.4953139014399062E-3</v>
      </c>
      <c r="M556" s="3">
        <f t="shared" si="27"/>
        <v>-1.6043124840575691E-2</v>
      </c>
      <c r="N556" s="3">
        <f t="shared" si="27"/>
        <v>7.2394913997594025E-3</v>
      </c>
    </row>
    <row r="557" spans="1:14" x14ac:dyDescent="0.3">
      <c r="A557" s="2">
        <v>45222</v>
      </c>
      <c r="B557" s="3">
        <v>173</v>
      </c>
      <c r="C557" s="3">
        <v>42.97</v>
      </c>
      <c r="D557" s="3">
        <v>212.08</v>
      </c>
      <c r="E557" s="3">
        <v>34.67</v>
      </c>
      <c r="F557" s="3">
        <v>30.16</v>
      </c>
      <c r="G557" s="4">
        <v>4217.04</v>
      </c>
      <c r="I557" s="3">
        <f t="shared" si="28"/>
        <v>6.9388229914837116E-4</v>
      </c>
      <c r="J557" s="3">
        <f t="shared" si="28"/>
        <v>3.7462892026262691E-2</v>
      </c>
      <c r="K557" s="3">
        <f t="shared" si="28"/>
        <v>4.2445823260903398E-4</v>
      </c>
      <c r="L557" s="3">
        <f t="shared" si="27"/>
        <v>-4.8913922873700258E-3</v>
      </c>
      <c r="M557" s="3">
        <f t="shared" si="27"/>
        <v>-1.9698601497687904E-2</v>
      </c>
      <c r="N557" s="3">
        <f t="shared" si="27"/>
        <v>-1.6869643388467898E-3</v>
      </c>
    </row>
    <row r="558" spans="1:14" x14ac:dyDescent="0.3">
      <c r="A558" s="2">
        <v>45219</v>
      </c>
      <c r="B558" s="3">
        <v>172.88</v>
      </c>
      <c r="C558" s="3">
        <v>41.39</v>
      </c>
      <c r="D558" s="3">
        <v>211.99</v>
      </c>
      <c r="E558" s="3">
        <v>34.840000000000003</v>
      </c>
      <c r="F558" s="3">
        <v>30.76</v>
      </c>
      <c r="G558" s="4">
        <v>4224.16</v>
      </c>
      <c r="I558" s="3">
        <f t="shared" si="28"/>
        <v>-1.4813384501607393E-2</v>
      </c>
      <c r="J558" s="3">
        <f t="shared" si="28"/>
        <v>-1.7008434927694733E-2</v>
      </c>
      <c r="K558" s="3">
        <f t="shared" si="28"/>
        <v>-3.7588317645851396E-2</v>
      </c>
      <c r="L558" s="3">
        <f t="shared" si="27"/>
        <v>-2.1017530253386894E-2</v>
      </c>
      <c r="M558" s="3">
        <f t="shared" si="27"/>
        <v>7.1778448469569829E-3</v>
      </c>
      <c r="N558" s="3">
        <f t="shared" si="27"/>
        <v>-1.2665186185757991E-2</v>
      </c>
    </row>
    <row r="559" spans="1:14" x14ac:dyDescent="0.3">
      <c r="A559" s="2">
        <v>45218</v>
      </c>
      <c r="B559" s="3">
        <v>175.46</v>
      </c>
      <c r="C559" s="3">
        <v>42.1</v>
      </c>
      <c r="D559" s="3">
        <v>220.11</v>
      </c>
      <c r="E559" s="3">
        <v>35.58</v>
      </c>
      <c r="F559" s="3">
        <v>30.54</v>
      </c>
      <c r="G559" s="4">
        <v>4278</v>
      </c>
      <c r="I559" s="3">
        <f t="shared" si="28"/>
        <v>-2.1633939550734318E-3</v>
      </c>
      <c r="J559" s="3">
        <f t="shared" si="28"/>
        <v>-2.372480353630468E-3</v>
      </c>
      <c r="K559" s="3">
        <f t="shared" si="28"/>
        <v>-9.7616281680084516E-2</v>
      </c>
      <c r="L559" s="3">
        <f t="shared" si="27"/>
        <v>-3.927073770609215E-3</v>
      </c>
      <c r="M559" s="3">
        <f t="shared" si="27"/>
        <v>-4.2476783356738762E-3</v>
      </c>
      <c r="N559" s="3">
        <f t="shared" si="27"/>
        <v>-8.5190096941524674E-3</v>
      </c>
    </row>
    <row r="560" spans="1:14" x14ac:dyDescent="0.3">
      <c r="A560" s="2">
        <v>45217</v>
      </c>
      <c r="B560" s="3">
        <v>175.84</v>
      </c>
      <c r="C560" s="3">
        <v>42.2</v>
      </c>
      <c r="D560" s="3">
        <v>242.68</v>
      </c>
      <c r="E560" s="3">
        <v>35.72</v>
      </c>
      <c r="F560" s="3">
        <v>30.67</v>
      </c>
      <c r="G560" s="4">
        <v>4314.6000000000004</v>
      </c>
      <c r="I560" s="3">
        <f t="shared" si="28"/>
        <v>-7.4223406561697352E-3</v>
      </c>
      <c r="J560" s="3">
        <f t="shared" si="28"/>
        <v>-4.040484591449791E-2</v>
      </c>
      <c r="K560" s="3">
        <f t="shared" si="28"/>
        <v>-4.8931433711953569E-2</v>
      </c>
      <c r="L560" s="3">
        <f t="shared" si="27"/>
        <v>3.0842587186119749E-3</v>
      </c>
      <c r="M560" s="3">
        <f t="shared" si="27"/>
        <v>-2.2567044076426578E-2</v>
      </c>
      <c r="N560" s="3">
        <f t="shared" si="27"/>
        <v>-1.349038622382619E-2</v>
      </c>
    </row>
    <row r="561" spans="1:14" x14ac:dyDescent="0.3">
      <c r="A561" s="2">
        <v>45216</v>
      </c>
      <c r="B561" s="3">
        <v>177.15</v>
      </c>
      <c r="C561" s="3">
        <v>43.94</v>
      </c>
      <c r="D561" s="3">
        <v>254.85</v>
      </c>
      <c r="E561" s="3">
        <v>35.61</v>
      </c>
      <c r="F561" s="3">
        <v>31.37</v>
      </c>
      <c r="G561" s="4">
        <v>4373.2</v>
      </c>
      <c r="I561" s="3">
        <f t="shared" si="28"/>
        <v>-8.8235040094095368E-3</v>
      </c>
      <c r="J561" s="3">
        <f t="shared" si="28"/>
        <v>-4.798788304613872E-2</v>
      </c>
      <c r="K561" s="3">
        <f t="shared" si="28"/>
        <v>3.6558800079517445E-3</v>
      </c>
      <c r="L561" s="3">
        <f t="shared" si="27"/>
        <v>1.2433050803795163E-2</v>
      </c>
      <c r="M561" s="3">
        <f t="shared" si="27"/>
        <v>-1.274291347968407E-3</v>
      </c>
      <c r="N561" s="3">
        <f t="shared" si="27"/>
        <v>-9.8321334779938874E-5</v>
      </c>
    </row>
    <row r="562" spans="1:14" x14ac:dyDescent="0.3">
      <c r="A562" s="2">
        <v>45215</v>
      </c>
      <c r="B562" s="3">
        <v>178.72</v>
      </c>
      <c r="C562" s="3">
        <v>46.1</v>
      </c>
      <c r="D562" s="3">
        <v>253.92</v>
      </c>
      <c r="E562" s="3">
        <v>35.17</v>
      </c>
      <c r="F562" s="3">
        <v>31.41</v>
      </c>
      <c r="G562" s="4">
        <v>4373.63</v>
      </c>
      <c r="I562" s="3">
        <f t="shared" si="28"/>
        <v>-7.2713038413612155E-4</v>
      </c>
      <c r="J562" s="3">
        <f t="shared" si="28"/>
        <v>1.3980131578205808E-2</v>
      </c>
      <c r="K562" s="3">
        <f t="shared" si="28"/>
        <v>1.1088344244400741E-2</v>
      </c>
      <c r="L562" s="3">
        <f t="shared" si="27"/>
        <v>9.1403092793582823E-3</v>
      </c>
      <c r="M562" s="3">
        <f t="shared" si="27"/>
        <v>8.6331471447028754E-3</v>
      </c>
      <c r="N562" s="3">
        <f t="shared" si="27"/>
        <v>1.0538619453747615E-2</v>
      </c>
    </row>
    <row r="563" spans="1:14" x14ac:dyDescent="0.3">
      <c r="A563" s="2">
        <v>45212</v>
      </c>
      <c r="B563" s="3">
        <v>178.85</v>
      </c>
      <c r="C563" s="3">
        <v>45.46</v>
      </c>
      <c r="D563" s="3">
        <v>251.12</v>
      </c>
      <c r="E563" s="3">
        <v>34.85</v>
      </c>
      <c r="F563" s="3">
        <v>31.14</v>
      </c>
      <c r="G563" s="4">
        <v>4327.78</v>
      </c>
      <c r="I563" s="3">
        <f t="shared" si="28"/>
        <v>-1.0346070705045956E-2</v>
      </c>
      <c r="J563" s="3">
        <f t="shared" si="28"/>
        <v>-3.2037371998480238E-2</v>
      </c>
      <c r="K563" s="3">
        <f t="shared" si="28"/>
        <v>-3.0395092654627694E-2</v>
      </c>
      <c r="L563" s="3">
        <f t="shared" si="27"/>
        <v>2.2981911867627097E-3</v>
      </c>
      <c r="M563" s="3">
        <f t="shared" si="27"/>
        <v>-6.4205459669522662E-4</v>
      </c>
      <c r="N563" s="3">
        <f t="shared" si="27"/>
        <v>-5.0314774496886677E-3</v>
      </c>
    </row>
    <row r="564" spans="1:14" x14ac:dyDescent="0.3">
      <c r="A564" s="2">
        <v>45211</v>
      </c>
      <c r="B564" s="3">
        <v>180.71</v>
      </c>
      <c r="C564" s="3">
        <v>46.94</v>
      </c>
      <c r="D564" s="3">
        <v>258.87</v>
      </c>
      <c r="E564" s="3">
        <v>34.770000000000003</v>
      </c>
      <c r="F564" s="3">
        <v>31.16</v>
      </c>
      <c r="G564" s="4">
        <v>4349.6099999999997</v>
      </c>
      <c r="I564" s="3">
        <f t="shared" si="28"/>
        <v>5.0484143725527258E-3</v>
      </c>
      <c r="J564" s="3">
        <f t="shared" si="28"/>
        <v>2.7733351108981696E-3</v>
      </c>
      <c r="K564" s="3">
        <f t="shared" si="28"/>
        <v>-1.5790003452865065E-2</v>
      </c>
      <c r="L564" s="3">
        <f t="shared" si="27"/>
        <v>-3.7318831886113506E-3</v>
      </c>
      <c r="M564" s="3">
        <f t="shared" si="27"/>
        <v>-1.4338305224978859E-2</v>
      </c>
      <c r="N564" s="3">
        <f t="shared" si="27"/>
        <v>-6.2659488852716012E-3</v>
      </c>
    </row>
    <row r="565" spans="1:14" x14ac:dyDescent="0.3">
      <c r="A565" s="2">
        <v>45210</v>
      </c>
      <c r="B565" s="3">
        <v>179.8</v>
      </c>
      <c r="C565" s="3">
        <v>46.81</v>
      </c>
      <c r="D565" s="3">
        <v>262.99</v>
      </c>
      <c r="E565" s="3">
        <v>34.9</v>
      </c>
      <c r="F565" s="3">
        <v>31.61</v>
      </c>
      <c r="G565" s="4">
        <v>4376.95</v>
      </c>
      <c r="I565" s="3">
        <f t="shared" si="28"/>
        <v>7.872957274343912E-3</v>
      </c>
      <c r="J565" s="3">
        <f t="shared" si="28"/>
        <v>2.1812764191840001E-2</v>
      </c>
      <c r="K565" s="3">
        <f t="shared" si="28"/>
        <v>-2.3926636431288238E-3</v>
      </c>
      <c r="L565" s="3">
        <f t="shared" si="27"/>
        <v>0</v>
      </c>
      <c r="M565" s="3">
        <f t="shared" si="27"/>
        <v>2.2169446926340389E-3</v>
      </c>
      <c r="N565" s="3">
        <f t="shared" si="27"/>
        <v>4.2838286545689866E-3</v>
      </c>
    </row>
    <row r="566" spans="1:14" x14ac:dyDescent="0.3">
      <c r="A566" s="2">
        <v>45209</v>
      </c>
      <c r="B566" s="3">
        <v>178.39</v>
      </c>
      <c r="C566" s="3">
        <v>45.8</v>
      </c>
      <c r="D566" s="3">
        <v>263.62</v>
      </c>
      <c r="E566" s="3">
        <v>34.9</v>
      </c>
      <c r="F566" s="3">
        <v>31.54</v>
      </c>
      <c r="G566" s="4">
        <v>4358.24</v>
      </c>
      <c r="I566" s="3">
        <f t="shared" si="28"/>
        <v>-3.3577735952325274E-3</v>
      </c>
      <c r="J566" s="3">
        <f t="shared" si="28"/>
        <v>1.1639529672271944E-2</v>
      </c>
      <c r="K566" s="3">
        <f t="shared" si="28"/>
        <v>1.5097078193599225E-2</v>
      </c>
      <c r="L566" s="3">
        <f t="shared" si="27"/>
        <v>2.8694424279529607E-3</v>
      </c>
      <c r="M566" s="3">
        <f t="shared" si="27"/>
        <v>1.469205603544564E-2</v>
      </c>
      <c r="N566" s="3">
        <f t="shared" si="27"/>
        <v>5.1944583608864153E-3</v>
      </c>
    </row>
    <row r="567" spans="1:14" x14ac:dyDescent="0.3">
      <c r="A567" s="2">
        <v>45208</v>
      </c>
      <c r="B567" s="3">
        <v>178.99</v>
      </c>
      <c r="C567" s="3">
        <v>45.27</v>
      </c>
      <c r="D567" s="3">
        <v>259.67</v>
      </c>
      <c r="E567" s="3">
        <v>34.799999999999997</v>
      </c>
      <c r="F567" s="3">
        <v>31.08</v>
      </c>
      <c r="G567" s="4">
        <v>4335.66</v>
      </c>
      <c r="I567" s="3">
        <f t="shared" si="28"/>
        <v>8.415669058153363E-3</v>
      </c>
      <c r="J567" s="3">
        <f t="shared" si="28"/>
        <v>-1.0765785623675148E-2</v>
      </c>
      <c r="K567" s="3">
        <f t="shared" si="28"/>
        <v>-3.3064236197276136E-3</v>
      </c>
      <c r="L567" s="3">
        <f t="shared" si="27"/>
        <v>3.1229737706869796E-2</v>
      </c>
      <c r="M567" s="3">
        <f t="shared" si="27"/>
        <v>5.4847693554217229E-3</v>
      </c>
      <c r="N567" s="3">
        <f t="shared" si="27"/>
        <v>6.2840320810455159E-3</v>
      </c>
    </row>
    <row r="568" spans="1:14" x14ac:dyDescent="0.3">
      <c r="A568" s="2">
        <v>45205</v>
      </c>
      <c r="B568" s="3">
        <v>177.49</v>
      </c>
      <c r="C568" s="3">
        <v>45.76</v>
      </c>
      <c r="D568" s="3">
        <v>260.52999999999997</v>
      </c>
      <c r="E568" s="3">
        <v>33.729999999999997</v>
      </c>
      <c r="F568" s="3">
        <v>30.91</v>
      </c>
      <c r="G568" s="4">
        <v>4308.5</v>
      </c>
      <c r="I568" s="3">
        <f t="shared" si="28"/>
        <v>1.4642713381283392E-2</v>
      </c>
      <c r="J568" s="3">
        <f t="shared" si="28"/>
        <v>2.3660584126182247E-2</v>
      </c>
      <c r="K568" s="3">
        <f t="shared" si="28"/>
        <v>1.8440974913664877E-3</v>
      </c>
      <c r="L568" s="3">
        <f t="shared" si="27"/>
        <v>1.1329876711926116E-2</v>
      </c>
      <c r="M568" s="3">
        <f t="shared" si="27"/>
        <v>1.6308254454751672E-2</v>
      </c>
      <c r="N568" s="3">
        <f t="shared" si="27"/>
        <v>1.1745628333713317E-2</v>
      </c>
    </row>
    <row r="569" spans="1:14" x14ac:dyDescent="0.3">
      <c r="A569" s="2">
        <v>45204</v>
      </c>
      <c r="B569" s="3">
        <v>174.91</v>
      </c>
      <c r="C569" s="3">
        <v>44.69</v>
      </c>
      <c r="D569" s="3">
        <v>260.05</v>
      </c>
      <c r="E569" s="3">
        <v>33.35</v>
      </c>
      <c r="F569" s="3">
        <v>30.41</v>
      </c>
      <c r="G569" s="4">
        <v>4258.1899999999996</v>
      </c>
      <c r="I569" s="3">
        <f t="shared" si="28"/>
        <v>7.1721912864727306E-3</v>
      </c>
      <c r="J569" s="3">
        <f t="shared" si="28"/>
        <v>1.4651451090880891E-2</v>
      </c>
      <c r="K569" s="3">
        <f t="shared" si="28"/>
        <v>-4.2593260993512554E-3</v>
      </c>
      <c r="L569" s="3">
        <f t="shared" si="27"/>
        <v>6.316760363215961E-3</v>
      </c>
      <c r="M569" s="3">
        <f t="shared" si="27"/>
        <v>-1.436524866212364E-2</v>
      </c>
      <c r="N569" s="3">
        <f t="shared" si="27"/>
        <v>-1.3048673867472557E-3</v>
      </c>
    </row>
    <row r="570" spans="1:14" x14ac:dyDescent="0.3">
      <c r="A570" s="2">
        <v>45203</v>
      </c>
      <c r="B570" s="3">
        <v>173.66</v>
      </c>
      <c r="C570" s="3">
        <v>44.04</v>
      </c>
      <c r="D570" s="3">
        <v>261.16000000000003</v>
      </c>
      <c r="E570" s="3">
        <v>33.14</v>
      </c>
      <c r="F570" s="3">
        <v>30.85</v>
      </c>
      <c r="G570" s="4">
        <v>4263.75</v>
      </c>
      <c r="I570" s="3">
        <f t="shared" si="28"/>
        <v>7.2820064029063027E-3</v>
      </c>
      <c r="J570" s="3">
        <f t="shared" si="28"/>
        <v>1.187770930679204E-2</v>
      </c>
      <c r="K570" s="3">
        <f t="shared" si="28"/>
        <v>5.7649556387045921E-2</v>
      </c>
      <c r="L570" s="3">
        <f t="shared" si="27"/>
        <v>-4.1087499403484107E-2</v>
      </c>
      <c r="M570" s="3">
        <f t="shared" si="27"/>
        <v>2.596561017446433E-3</v>
      </c>
      <c r="N570" s="3">
        <f t="shared" si="27"/>
        <v>8.0770937870001339E-3</v>
      </c>
    </row>
    <row r="571" spans="1:14" x14ac:dyDescent="0.3">
      <c r="A571" s="2">
        <v>45202</v>
      </c>
      <c r="B571" s="3">
        <v>172.4</v>
      </c>
      <c r="C571" s="3">
        <v>43.52</v>
      </c>
      <c r="D571" s="3">
        <v>246.53</v>
      </c>
      <c r="E571" s="3">
        <v>34.53</v>
      </c>
      <c r="F571" s="3">
        <v>30.77</v>
      </c>
      <c r="G571" s="4">
        <v>4229.45</v>
      </c>
      <c r="I571" s="3">
        <f t="shared" si="28"/>
        <v>-7.800126215308751E-3</v>
      </c>
      <c r="J571" s="3">
        <f t="shared" si="28"/>
        <v>-2.8541008622921499E-2</v>
      </c>
      <c r="K571" s="3">
        <f t="shared" si="28"/>
        <v>-2.0356834894898496E-2</v>
      </c>
      <c r="L571" s="3">
        <f t="shared" si="27"/>
        <v>-8.684325339539295E-4</v>
      </c>
      <c r="M571" s="3">
        <f t="shared" si="27"/>
        <v>7.5028895434641023E-3</v>
      </c>
      <c r="N571" s="3">
        <f t="shared" si="27"/>
        <v>-1.3839410161483797E-2</v>
      </c>
    </row>
    <row r="572" spans="1:14" x14ac:dyDescent="0.3">
      <c r="A572" s="2">
        <v>45201</v>
      </c>
      <c r="B572" s="3">
        <v>173.75</v>
      </c>
      <c r="C572" s="3">
        <v>44.78</v>
      </c>
      <c r="D572" s="3">
        <v>251.6</v>
      </c>
      <c r="E572" s="3">
        <v>34.56</v>
      </c>
      <c r="F572" s="3">
        <v>30.54</v>
      </c>
      <c r="G572" s="4">
        <v>4288.3900000000003</v>
      </c>
      <c r="I572" s="3">
        <f t="shared" si="28"/>
        <v>1.472661122817496E-2</v>
      </c>
      <c r="J572" s="3">
        <f t="shared" si="28"/>
        <v>2.9000673075970401E-2</v>
      </c>
      <c r="K572" s="3">
        <f t="shared" si="28"/>
        <v>5.4999939370314896E-3</v>
      </c>
      <c r="L572" s="3">
        <f t="shared" si="27"/>
        <v>-2.1752431799904333E-2</v>
      </c>
      <c r="M572" s="3">
        <f t="shared" si="27"/>
        <v>-6.8526944620405069E-3</v>
      </c>
      <c r="N572" s="3">
        <f t="shared" si="27"/>
        <v>7.9286976922361474E-5</v>
      </c>
    </row>
    <row r="573" spans="1:14" x14ac:dyDescent="0.3">
      <c r="A573" s="2">
        <v>45198</v>
      </c>
      <c r="B573" s="3">
        <v>171.21</v>
      </c>
      <c r="C573" s="3">
        <v>43.5</v>
      </c>
      <c r="D573" s="3">
        <v>250.22</v>
      </c>
      <c r="E573" s="3">
        <v>35.32</v>
      </c>
      <c r="F573" s="3">
        <v>30.75</v>
      </c>
      <c r="G573" s="4">
        <v>4288.05</v>
      </c>
      <c r="I573" s="3">
        <f t="shared" si="28"/>
        <v>3.0418274404849423E-3</v>
      </c>
      <c r="J573" s="3">
        <f t="shared" si="28"/>
        <v>9.4699864668916084E-3</v>
      </c>
      <c r="K573" s="3">
        <f t="shared" si="28"/>
        <v>1.54654713554259E-2</v>
      </c>
      <c r="L573" s="3">
        <f t="shared" si="27"/>
        <v>-3.5325603295356271E-2</v>
      </c>
      <c r="M573" s="3">
        <f t="shared" si="27"/>
        <v>5.8708583497838274E-3</v>
      </c>
      <c r="N573" s="3">
        <f t="shared" si="27"/>
        <v>-2.7131686755154211E-3</v>
      </c>
    </row>
    <row r="574" spans="1:14" x14ac:dyDescent="0.3">
      <c r="A574" s="2">
        <v>45197</v>
      </c>
      <c r="B574" s="3">
        <v>170.69</v>
      </c>
      <c r="C574" s="3">
        <v>43.09</v>
      </c>
      <c r="D574" s="3">
        <v>246.38</v>
      </c>
      <c r="E574" s="3">
        <v>36.590000000000003</v>
      </c>
      <c r="F574" s="3">
        <v>30.57</v>
      </c>
      <c r="G574" s="4">
        <v>4299.7</v>
      </c>
      <c r="I574" s="3">
        <f t="shared" si="28"/>
        <v>1.5243905390963399E-3</v>
      </c>
      <c r="J574" s="3">
        <f t="shared" si="28"/>
        <v>1.4493007302567043E-2</v>
      </c>
      <c r="K574" s="3">
        <f t="shared" si="28"/>
        <v>2.4154969988012188E-2</v>
      </c>
      <c r="L574" s="3">
        <f t="shared" si="27"/>
        <v>9.3355977304317127E-3</v>
      </c>
      <c r="M574" s="3">
        <f t="shared" si="27"/>
        <v>9.5317073334951399E-3</v>
      </c>
      <c r="N574" s="3">
        <f t="shared" si="27"/>
        <v>5.8757768874731896E-3</v>
      </c>
    </row>
    <row r="575" spans="1:14" x14ac:dyDescent="0.3">
      <c r="A575" s="2">
        <v>45196</v>
      </c>
      <c r="B575" s="3">
        <v>170.43</v>
      </c>
      <c r="C575" s="3">
        <v>42.47</v>
      </c>
      <c r="D575" s="3">
        <v>240.5</v>
      </c>
      <c r="E575" s="3">
        <v>36.25</v>
      </c>
      <c r="F575" s="3">
        <v>30.28</v>
      </c>
      <c r="G575" s="4">
        <v>4274.51</v>
      </c>
      <c r="I575" s="3">
        <f t="shared" si="28"/>
        <v>-8.9372363909355351E-3</v>
      </c>
      <c r="J575" s="3">
        <f t="shared" si="28"/>
        <v>1.3273482388199682E-2</v>
      </c>
      <c r="K575" s="3">
        <f t="shared" si="28"/>
        <v>-1.4939818130478311E-2</v>
      </c>
      <c r="L575" s="3">
        <f t="shared" si="27"/>
        <v>1.5008619694326658E-2</v>
      </c>
      <c r="M575" s="3">
        <f t="shared" si="27"/>
        <v>-1.1165961660289693E-2</v>
      </c>
      <c r="N575" s="3">
        <f t="shared" si="27"/>
        <v>2.2929233000634007E-4</v>
      </c>
    </row>
    <row r="576" spans="1:14" x14ac:dyDescent="0.3">
      <c r="A576" s="2">
        <v>45195</v>
      </c>
      <c r="B576" s="3">
        <v>171.96</v>
      </c>
      <c r="C576" s="3">
        <v>41.91</v>
      </c>
      <c r="D576" s="3">
        <v>244.12</v>
      </c>
      <c r="E576" s="3">
        <v>35.71</v>
      </c>
      <c r="F576" s="3">
        <v>30.62</v>
      </c>
      <c r="G576" s="4">
        <v>4273.53</v>
      </c>
      <c r="I576" s="3">
        <f t="shared" si="28"/>
        <v>-2.3676545590125463E-2</v>
      </c>
      <c r="J576" s="3">
        <f t="shared" si="28"/>
        <v>-7.3695804831944555E-3</v>
      </c>
      <c r="K576" s="3">
        <f t="shared" si="28"/>
        <v>-1.1687942302150128E-2</v>
      </c>
      <c r="L576" s="3">
        <f t="shared" si="27"/>
        <v>-5.3065338878760769E-3</v>
      </c>
      <c r="M576" s="3">
        <f t="shared" si="27"/>
        <v>-1.7160855003924325E-2</v>
      </c>
      <c r="N576" s="3">
        <f t="shared" si="27"/>
        <v>-1.4844128717961364E-2</v>
      </c>
    </row>
    <row r="577" spans="1:14" x14ac:dyDescent="0.3">
      <c r="A577" s="2">
        <v>45194</v>
      </c>
      <c r="B577" s="3">
        <v>176.08</v>
      </c>
      <c r="C577" s="3">
        <v>42.22</v>
      </c>
      <c r="D577" s="3">
        <v>246.99</v>
      </c>
      <c r="E577" s="3">
        <v>35.9</v>
      </c>
      <c r="F577" s="3">
        <v>31.15</v>
      </c>
      <c r="G577" s="4">
        <v>4337.4399999999996</v>
      </c>
      <c r="I577" s="3">
        <f t="shared" si="28"/>
        <v>7.3531838712111624E-3</v>
      </c>
      <c r="J577" s="3">
        <f t="shared" si="28"/>
        <v>1.4553519425324693E-2</v>
      </c>
      <c r="K577" s="3">
        <f t="shared" si="28"/>
        <v>8.5795553412872563E-3</v>
      </c>
      <c r="L577" s="3">
        <f t="shared" si="27"/>
        <v>1.4025475354504458E-2</v>
      </c>
      <c r="M577" s="3">
        <f t="shared" si="27"/>
        <v>-1.603849581974516E-3</v>
      </c>
      <c r="N577" s="3">
        <f t="shared" si="27"/>
        <v>4.0150212758186272E-3</v>
      </c>
    </row>
    <row r="578" spans="1:14" x14ac:dyDescent="0.3">
      <c r="A578" s="2">
        <v>45191</v>
      </c>
      <c r="B578" s="3">
        <v>174.79</v>
      </c>
      <c r="C578" s="3">
        <v>41.61</v>
      </c>
      <c r="D578" s="3">
        <v>244.88</v>
      </c>
      <c r="E578" s="3">
        <v>35.4</v>
      </c>
      <c r="F578" s="3">
        <v>31.2</v>
      </c>
      <c r="G578" s="4">
        <v>4320.0600000000004</v>
      </c>
      <c r="I578" s="3">
        <f t="shared" si="28"/>
        <v>4.9323339269332096E-3</v>
      </c>
      <c r="J578" s="3">
        <f t="shared" si="28"/>
        <v>1.4280770350615306E-2</v>
      </c>
      <c r="K578" s="3">
        <f t="shared" si="28"/>
        <v>-4.3236587659983838E-2</v>
      </c>
      <c r="L578" s="3">
        <f t="shared" si="27"/>
        <v>9.6509406466403023E-3</v>
      </c>
      <c r="M578" s="3">
        <f t="shared" si="27"/>
        <v>5.7859370670439265E-3</v>
      </c>
      <c r="N578" s="3">
        <f t="shared" si="27"/>
        <v>-2.2982509659402743E-3</v>
      </c>
    </row>
    <row r="579" spans="1:14" x14ac:dyDescent="0.3">
      <c r="A579" s="2">
        <v>45190</v>
      </c>
      <c r="B579" s="3">
        <v>173.93</v>
      </c>
      <c r="C579" s="3">
        <v>41.02</v>
      </c>
      <c r="D579" s="3">
        <v>255.7</v>
      </c>
      <c r="E579" s="3">
        <v>35.06</v>
      </c>
      <c r="F579" s="3">
        <v>31.02</v>
      </c>
      <c r="G579" s="4">
        <v>4330</v>
      </c>
      <c r="I579" s="3">
        <f t="shared" si="28"/>
        <v>-8.9291418054534399E-3</v>
      </c>
      <c r="J579" s="3">
        <f t="shared" si="28"/>
        <v>-2.9307886753771412E-2</v>
      </c>
      <c r="K579" s="3">
        <f t="shared" si="28"/>
        <v>-2.6588998115315374E-2</v>
      </c>
      <c r="L579" s="3">
        <f t="shared" si="28"/>
        <v>-2.0887013913566073E-2</v>
      </c>
      <c r="M579" s="3">
        <f t="shared" si="28"/>
        <v>-9.3053775899215874E-3</v>
      </c>
      <c r="N579" s="3">
        <f t="shared" si="28"/>
        <v>-1.653687395146802E-2</v>
      </c>
    </row>
    <row r="580" spans="1:14" x14ac:dyDescent="0.3">
      <c r="A580" s="2">
        <v>45189</v>
      </c>
      <c r="B580" s="3">
        <v>175.49</v>
      </c>
      <c r="C580" s="3">
        <v>42.24</v>
      </c>
      <c r="D580" s="3">
        <v>262.58999999999997</v>
      </c>
      <c r="E580" s="3">
        <v>35.799999999999997</v>
      </c>
      <c r="F580" s="3">
        <v>31.31</v>
      </c>
      <c r="G580" s="4">
        <v>4402.2</v>
      </c>
      <c r="I580" s="3">
        <f t="shared" ref="I580:L643" si="29">LN(B580/B581)</f>
        <v>-2.0194729623152739E-2</v>
      </c>
      <c r="J580" s="3">
        <f t="shared" si="29"/>
        <v>-2.985296314968116E-2</v>
      </c>
      <c r="K580" s="3">
        <f t="shared" si="29"/>
        <v>-1.4780363193443006E-2</v>
      </c>
      <c r="L580" s="3">
        <f t="shared" si="29"/>
        <v>-1.0558586560494517E-2</v>
      </c>
      <c r="M580" s="3">
        <f t="shared" ref="M580:N643" si="30">LN(F580/F581)</f>
        <v>1.2857779194289426E-2</v>
      </c>
      <c r="N580" s="3">
        <f t="shared" si="30"/>
        <v>-9.4392046231101256E-3</v>
      </c>
    </row>
    <row r="581" spans="1:14" x14ac:dyDescent="0.3">
      <c r="A581" s="2">
        <v>45188</v>
      </c>
      <c r="B581" s="3">
        <v>179.07</v>
      </c>
      <c r="C581" s="3">
        <v>43.52</v>
      </c>
      <c r="D581" s="3">
        <v>266.5</v>
      </c>
      <c r="E581" s="3">
        <v>36.18</v>
      </c>
      <c r="F581" s="3">
        <v>30.91</v>
      </c>
      <c r="G581" s="4">
        <v>4443.95</v>
      </c>
      <c r="I581" s="3">
        <f t="shared" si="29"/>
        <v>6.1617940867738823E-3</v>
      </c>
      <c r="J581" s="3">
        <f t="shared" si="29"/>
        <v>-1.0286980645031514E-2</v>
      </c>
      <c r="K581" s="3">
        <f t="shared" si="29"/>
        <v>4.5883716589692498E-3</v>
      </c>
      <c r="L581" s="3">
        <f t="shared" si="29"/>
        <v>-7.7092892833679726E-3</v>
      </c>
      <c r="M581" s="3">
        <f t="shared" si="30"/>
        <v>-6.1280630411635817E-3</v>
      </c>
      <c r="N581" s="3">
        <f t="shared" si="30"/>
        <v>-2.1534195529618974E-3</v>
      </c>
    </row>
    <row r="582" spans="1:14" x14ac:dyDescent="0.3">
      <c r="A582" s="2">
        <v>45187</v>
      </c>
      <c r="B582" s="3">
        <v>177.97</v>
      </c>
      <c r="C582" s="3">
        <v>43.97</v>
      </c>
      <c r="D582" s="3">
        <v>265.27999999999997</v>
      </c>
      <c r="E582" s="3">
        <v>36.46</v>
      </c>
      <c r="F582" s="3">
        <v>31.1</v>
      </c>
      <c r="G582" s="4">
        <v>4453.53</v>
      </c>
      <c r="I582" s="3">
        <f t="shared" si="29"/>
        <v>1.6771881613828182E-2</v>
      </c>
      <c r="J582" s="3">
        <f t="shared" si="29"/>
        <v>1.5932631115930949E-3</v>
      </c>
      <c r="K582" s="3">
        <f t="shared" si="29"/>
        <v>-3.3764580092044333E-2</v>
      </c>
      <c r="L582" s="3">
        <f t="shared" si="29"/>
        <v>8.26223372654134E-3</v>
      </c>
      <c r="M582" s="3">
        <f t="shared" si="30"/>
        <v>8.0710688337917204E-3</v>
      </c>
      <c r="N582" s="3">
        <f t="shared" si="30"/>
        <v>7.2103643683838804E-4</v>
      </c>
    </row>
    <row r="583" spans="1:14" x14ac:dyDescent="0.3">
      <c r="A583" s="2">
        <v>45184</v>
      </c>
      <c r="B583" s="3">
        <v>175.01</v>
      </c>
      <c r="C583" s="3">
        <v>43.9</v>
      </c>
      <c r="D583" s="3">
        <v>274.39</v>
      </c>
      <c r="E583" s="3">
        <v>36.159999999999997</v>
      </c>
      <c r="F583" s="3">
        <v>30.85</v>
      </c>
      <c r="G583" s="4">
        <v>4450.32</v>
      </c>
      <c r="I583" s="3">
        <f t="shared" si="29"/>
        <v>-4.1625149196311386E-3</v>
      </c>
      <c r="J583" s="3">
        <f t="shared" si="29"/>
        <v>-3.7554703736412537E-2</v>
      </c>
      <c r="K583" s="3">
        <f t="shared" si="29"/>
        <v>-5.9953307134267978E-3</v>
      </c>
      <c r="L583" s="3">
        <f t="shared" si="29"/>
        <v>-1.4278111864288392E-2</v>
      </c>
      <c r="M583" s="3">
        <f t="shared" si="30"/>
        <v>-6.139944963621159E-3</v>
      </c>
      <c r="N583" s="3">
        <f t="shared" si="30"/>
        <v>-1.2234084667107637E-2</v>
      </c>
    </row>
    <row r="584" spans="1:14" x14ac:dyDescent="0.3">
      <c r="A584" s="2">
        <v>45183</v>
      </c>
      <c r="B584" s="3">
        <v>175.74</v>
      </c>
      <c r="C584" s="3">
        <v>45.58</v>
      </c>
      <c r="D584" s="3">
        <v>276.04000000000002</v>
      </c>
      <c r="E584" s="3">
        <v>36.68</v>
      </c>
      <c r="F584" s="3">
        <v>31.04</v>
      </c>
      <c r="G584" s="4">
        <v>4505.1000000000004</v>
      </c>
      <c r="I584" s="3">
        <f t="shared" si="29"/>
        <v>8.7441620156289389E-3</v>
      </c>
      <c r="J584" s="3">
        <f t="shared" si="29"/>
        <v>1.9765022356254902E-3</v>
      </c>
      <c r="K584" s="3">
        <f t="shared" si="29"/>
        <v>1.7320563087515017E-2</v>
      </c>
      <c r="L584" s="3">
        <f t="shared" si="29"/>
        <v>1.2068166213485471E-2</v>
      </c>
      <c r="M584" s="3">
        <f t="shared" si="30"/>
        <v>1.7550011701652019E-2</v>
      </c>
      <c r="N584" s="3">
        <f t="shared" si="30"/>
        <v>8.394550741111827E-3</v>
      </c>
    </row>
    <row r="585" spans="1:14" x14ac:dyDescent="0.3">
      <c r="A585" s="2">
        <v>45182</v>
      </c>
      <c r="B585" s="3">
        <v>174.21</v>
      </c>
      <c r="C585" s="3">
        <v>45.49</v>
      </c>
      <c r="D585" s="3">
        <v>271.3</v>
      </c>
      <c r="E585" s="3">
        <v>36.24</v>
      </c>
      <c r="F585" s="3">
        <v>30.5</v>
      </c>
      <c r="G585" s="4">
        <v>4467.4399999999996</v>
      </c>
      <c r="I585" s="3">
        <f t="shared" si="29"/>
        <v>-1.1925621351756389E-2</v>
      </c>
      <c r="J585" s="3">
        <f t="shared" si="29"/>
        <v>1.3723101594020877E-2</v>
      </c>
      <c r="K585" s="3">
        <f t="shared" si="29"/>
        <v>1.418042247910826E-2</v>
      </c>
      <c r="L585" s="3">
        <f t="shared" si="29"/>
        <v>-2.3453488438610903E-2</v>
      </c>
      <c r="M585" s="3">
        <f t="shared" si="30"/>
        <v>-2.9464745494461072E-3</v>
      </c>
      <c r="N585" s="3">
        <f t="shared" si="30"/>
        <v>1.2408533465711885E-3</v>
      </c>
    </row>
    <row r="586" spans="1:14" x14ac:dyDescent="0.3">
      <c r="A586" s="2">
        <v>45181</v>
      </c>
      <c r="B586" s="3">
        <v>176.3</v>
      </c>
      <c r="C586" s="3">
        <v>44.87</v>
      </c>
      <c r="D586" s="3">
        <v>267.48</v>
      </c>
      <c r="E586" s="3">
        <v>37.1</v>
      </c>
      <c r="F586" s="3">
        <v>30.59</v>
      </c>
      <c r="G586" s="4">
        <v>4461.8999999999996</v>
      </c>
      <c r="I586" s="3">
        <f t="shared" si="29"/>
        <v>-1.7207869920025237E-2</v>
      </c>
      <c r="J586" s="3">
        <f t="shared" si="29"/>
        <v>-6.8850910519652649E-3</v>
      </c>
      <c r="K586" s="3">
        <f t="shared" si="29"/>
        <v>-2.2549286475520292E-2</v>
      </c>
      <c r="L586" s="3">
        <f t="shared" si="29"/>
        <v>9.7508898264097588E-3</v>
      </c>
      <c r="M586" s="3">
        <f t="shared" si="30"/>
        <v>1.3493704823109255E-2</v>
      </c>
      <c r="N586" s="3">
        <f t="shared" si="30"/>
        <v>-5.7121558411206055E-3</v>
      </c>
    </row>
    <row r="587" spans="1:14" x14ac:dyDescent="0.3">
      <c r="A587" s="2">
        <v>45180</v>
      </c>
      <c r="B587" s="3">
        <v>179.36</v>
      </c>
      <c r="C587" s="3">
        <v>45.18</v>
      </c>
      <c r="D587" s="3">
        <v>273.58</v>
      </c>
      <c r="E587" s="3">
        <v>36.74</v>
      </c>
      <c r="F587" s="3">
        <v>30.18</v>
      </c>
      <c r="G587" s="4">
        <v>4487.46</v>
      </c>
      <c r="I587" s="3">
        <f t="shared" si="29"/>
        <v>6.6006840313520927E-3</v>
      </c>
      <c r="J587" s="3">
        <f t="shared" si="29"/>
        <v>-8.5950942359339314E-3</v>
      </c>
      <c r="K587" s="3">
        <f t="shared" si="29"/>
        <v>9.6151238124614707E-2</v>
      </c>
      <c r="L587" s="3">
        <f t="shared" si="29"/>
        <v>-5.6995676072312583E-3</v>
      </c>
      <c r="M587" s="3">
        <f t="shared" si="30"/>
        <v>7.650128778244409E-3</v>
      </c>
      <c r="N587" s="3">
        <f t="shared" si="30"/>
        <v>6.7010127829867268E-3</v>
      </c>
    </row>
    <row r="588" spans="1:14" x14ac:dyDescent="0.3">
      <c r="A588" s="2">
        <v>45177</v>
      </c>
      <c r="B588" s="3">
        <v>178.18</v>
      </c>
      <c r="C588" s="3">
        <v>45.57</v>
      </c>
      <c r="D588" s="3">
        <v>248.5</v>
      </c>
      <c r="E588" s="3">
        <v>36.950000000000003</v>
      </c>
      <c r="F588" s="3">
        <v>29.95</v>
      </c>
      <c r="G588" s="4">
        <v>4457.49</v>
      </c>
      <c r="I588" s="3">
        <f t="shared" si="29"/>
        <v>3.4856953266633552E-3</v>
      </c>
      <c r="J588" s="3">
        <f t="shared" si="29"/>
        <v>-1.4595619088330864E-2</v>
      </c>
      <c r="K588" s="3">
        <f t="shared" si="29"/>
        <v>-1.196038178119233E-2</v>
      </c>
      <c r="L588" s="3">
        <f t="shared" si="29"/>
        <v>-6.743113884890085E-3</v>
      </c>
      <c r="M588" s="3">
        <f t="shared" si="30"/>
        <v>1.5478101734273516E-2</v>
      </c>
      <c r="N588" s="3">
        <f t="shared" si="30"/>
        <v>1.4255841976643817E-3</v>
      </c>
    </row>
    <row r="589" spans="1:14" x14ac:dyDescent="0.3">
      <c r="A589" s="2">
        <v>45176</v>
      </c>
      <c r="B589" s="3">
        <v>177.56</v>
      </c>
      <c r="C589" s="3">
        <v>46.24</v>
      </c>
      <c r="D589" s="3">
        <v>251.49</v>
      </c>
      <c r="E589" s="3">
        <v>37.200000000000003</v>
      </c>
      <c r="F589" s="3">
        <v>29.49</v>
      </c>
      <c r="G589" s="4">
        <v>4451.1400000000003</v>
      </c>
      <c r="I589" s="3">
        <f t="shared" si="29"/>
        <v>-2.9685648621999895E-2</v>
      </c>
      <c r="J589" s="3">
        <f t="shared" si="29"/>
        <v>-1.7578158935094391E-2</v>
      </c>
      <c r="K589" s="3">
        <f t="shared" si="29"/>
        <v>-1.7083494748933784E-3</v>
      </c>
      <c r="L589" s="3">
        <f t="shared" si="29"/>
        <v>-5.3748993500372759E-4</v>
      </c>
      <c r="M589" s="3">
        <f t="shared" si="30"/>
        <v>-8.1054141828214542E-3</v>
      </c>
      <c r="N589" s="3">
        <f t="shared" si="30"/>
        <v>-3.2164682050081963E-3</v>
      </c>
    </row>
    <row r="590" spans="1:14" x14ac:dyDescent="0.3">
      <c r="A590" s="2">
        <v>45175</v>
      </c>
      <c r="B590" s="3">
        <v>182.91</v>
      </c>
      <c r="C590" s="3">
        <v>47.06</v>
      </c>
      <c r="D590" s="3">
        <v>251.92</v>
      </c>
      <c r="E590" s="3">
        <v>37.22</v>
      </c>
      <c r="F590" s="3">
        <v>29.73</v>
      </c>
      <c r="G590" s="4">
        <v>4465.4799999999996</v>
      </c>
      <c r="I590" s="3">
        <f t="shared" si="29"/>
        <v>-3.6449648353134058E-2</v>
      </c>
      <c r="J590" s="3">
        <f t="shared" si="29"/>
        <v>-3.1170811438117344E-2</v>
      </c>
      <c r="K590" s="3">
        <f t="shared" si="29"/>
        <v>-1.7978100703291561E-2</v>
      </c>
      <c r="L590" s="3">
        <f t="shared" si="29"/>
        <v>4.038234051463827E-3</v>
      </c>
      <c r="M590" s="3">
        <f t="shared" si="30"/>
        <v>-6.3705160962701781E-3</v>
      </c>
      <c r="N590" s="3">
        <f t="shared" si="30"/>
        <v>-6.9959927442528732E-3</v>
      </c>
    </row>
    <row r="591" spans="1:14" x14ac:dyDescent="0.3">
      <c r="A591" s="2">
        <v>45174</v>
      </c>
      <c r="B591" s="3">
        <v>189.7</v>
      </c>
      <c r="C591" s="3">
        <v>48.55</v>
      </c>
      <c r="D591" s="3">
        <v>256.49</v>
      </c>
      <c r="E591" s="3">
        <v>37.07</v>
      </c>
      <c r="F591" s="3">
        <v>29.92</v>
      </c>
      <c r="G591" s="4">
        <v>4496.83</v>
      </c>
      <c r="I591" s="3">
        <f t="shared" si="29"/>
        <v>1.2659564935798922E-3</v>
      </c>
      <c r="J591" s="3">
        <f t="shared" si="29"/>
        <v>8.2423248020876321E-4</v>
      </c>
      <c r="K591" s="3">
        <f t="shared" si="29"/>
        <v>4.5790651457766743E-2</v>
      </c>
      <c r="L591" s="3">
        <f t="shared" si="29"/>
        <v>7.0384697717111354E-3</v>
      </c>
      <c r="M591" s="3">
        <f t="shared" si="30"/>
        <v>-2.3452767738407342E-2</v>
      </c>
      <c r="N591" s="3">
        <f t="shared" si="30"/>
        <v>-4.203010869610265E-3</v>
      </c>
    </row>
    <row r="592" spans="1:14" x14ac:dyDescent="0.3">
      <c r="A592" s="2">
        <v>45170</v>
      </c>
      <c r="B592" s="3">
        <v>189.46</v>
      </c>
      <c r="C592" s="3">
        <v>48.51</v>
      </c>
      <c r="D592" s="3">
        <v>245.01</v>
      </c>
      <c r="E592" s="3">
        <v>36.81</v>
      </c>
      <c r="F592" s="3">
        <v>30.63</v>
      </c>
      <c r="G592" s="4">
        <v>4515.7700000000004</v>
      </c>
      <c r="I592" s="3">
        <f t="shared" si="29"/>
        <v>8.427686168180834E-3</v>
      </c>
      <c r="J592" s="3">
        <f t="shared" si="29"/>
        <v>-1.7167803622365446E-2</v>
      </c>
      <c r="K592" s="3">
        <f t="shared" si="29"/>
        <v>-5.1970588338604698E-2</v>
      </c>
      <c r="L592" s="3">
        <f t="shared" si="29"/>
        <v>1.6986709815278819E-2</v>
      </c>
      <c r="M592" s="3">
        <f t="shared" si="30"/>
        <v>1.4137996463859919E-2</v>
      </c>
      <c r="N592" s="3">
        <f t="shared" si="30"/>
        <v>1.7975431036151848E-3</v>
      </c>
    </row>
    <row r="593" spans="1:14" x14ac:dyDescent="0.3">
      <c r="A593" s="2">
        <v>45169</v>
      </c>
      <c r="B593" s="3">
        <v>187.87</v>
      </c>
      <c r="C593" s="3">
        <v>49.35</v>
      </c>
      <c r="D593" s="3">
        <v>258.08</v>
      </c>
      <c r="E593" s="3">
        <v>36.19</v>
      </c>
      <c r="F593" s="3">
        <v>30.2</v>
      </c>
      <c r="G593" s="4">
        <v>4507.66</v>
      </c>
      <c r="I593" s="3">
        <f t="shared" si="29"/>
        <v>1.1717086981777867E-3</v>
      </c>
      <c r="J593" s="3">
        <f t="shared" si="29"/>
        <v>1.8253731870987808E-3</v>
      </c>
      <c r="K593" s="3">
        <f t="shared" si="29"/>
        <v>4.5827102610608269E-3</v>
      </c>
      <c r="L593" s="3">
        <f t="shared" si="29"/>
        <v>3.8759738446929397E-3</v>
      </c>
      <c r="M593" s="3">
        <f t="shared" si="30"/>
        <v>-1.7397451761569378E-2</v>
      </c>
      <c r="N593" s="3">
        <f t="shared" si="30"/>
        <v>-1.5982216816604765E-3</v>
      </c>
    </row>
    <row r="594" spans="1:14" x14ac:dyDescent="0.3">
      <c r="A594" s="2">
        <v>45168</v>
      </c>
      <c r="B594" s="3">
        <v>187.65</v>
      </c>
      <c r="C594" s="3">
        <v>49.26</v>
      </c>
      <c r="D594" s="3">
        <v>256.89999999999998</v>
      </c>
      <c r="E594" s="3">
        <v>36.049999999999997</v>
      </c>
      <c r="F594" s="3">
        <v>30.73</v>
      </c>
      <c r="G594" s="4">
        <v>4514.87</v>
      </c>
      <c r="I594" s="3">
        <f t="shared" si="29"/>
        <v>1.8990806631989123E-2</v>
      </c>
      <c r="J594" s="3">
        <f t="shared" si="29"/>
        <v>9.7919999046174981E-3</v>
      </c>
      <c r="K594" s="3">
        <f t="shared" si="29"/>
        <v>-1.0893247264551046E-3</v>
      </c>
      <c r="L594" s="3">
        <f t="shared" si="29"/>
        <v>-1.3860016078772516E-3</v>
      </c>
      <c r="M594" s="3">
        <f t="shared" si="30"/>
        <v>-6.5061811013355294E-4</v>
      </c>
      <c r="N594" s="3">
        <f t="shared" si="30"/>
        <v>3.8258021699069606E-3</v>
      </c>
    </row>
    <row r="595" spans="1:14" x14ac:dyDescent="0.3">
      <c r="A595" s="2">
        <v>45167</v>
      </c>
      <c r="B595" s="3">
        <v>184.12</v>
      </c>
      <c r="C595" s="3">
        <v>48.78</v>
      </c>
      <c r="D595" s="3">
        <v>257.18</v>
      </c>
      <c r="E595" s="3">
        <v>36.1</v>
      </c>
      <c r="F595" s="3">
        <v>30.75</v>
      </c>
      <c r="G595" s="4">
        <v>4497.63</v>
      </c>
      <c r="I595" s="3">
        <f t="shared" si="29"/>
        <v>2.1575869210317872E-2</v>
      </c>
      <c r="J595" s="3">
        <f t="shared" si="29"/>
        <v>4.07963695923238E-2</v>
      </c>
      <c r="K595" s="3">
        <f t="shared" si="29"/>
        <v>7.4066098737054442E-2</v>
      </c>
      <c r="L595" s="3">
        <f t="shared" si="29"/>
        <v>2.7739268827252244E-3</v>
      </c>
      <c r="M595" s="3">
        <f t="shared" si="30"/>
        <v>-3.570852682487849E-3</v>
      </c>
      <c r="N595" s="3">
        <f t="shared" si="30"/>
        <v>1.4404107984150809E-2</v>
      </c>
    </row>
    <row r="596" spans="1:14" x14ac:dyDescent="0.3">
      <c r="A596" s="2">
        <v>45166</v>
      </c>
      <c r="B596" s="3">
        <v>180.19</v>
      </c>
      <c r="C596" s="3">
        <v>46.83</v>
      </c>
      <c r="D596" s="3">
        <v>238.82</v>
      </c>
      <c r="E596" s="3">
        <v>36</v>
      </c>
      <c r="F596" s="3">
        <v>30.86</v>
      </c>
      <c r="G596" s="4">
        <v>4433.3100000000004</v>
      </c>
      <c r="I596" s="3">
        <f t="shared" si="29"/>
        <v>8.807191822330614E-3</v>
      </c>
      <c r="J596" s="3">
        <f t="shared" si="29"/>
        <v>1.7447938588230454E-2</v>
      </c>
      <c r="K596" s="3">
        <f t="shared" si="29"/>
        <v>9.6353246808491167E-4</v>
      </c>
      <c r="L596" s="3">
        <f t="shared" si="29"/>
        <v>1.7089644098738022E-2</v>
      </c>
      <c r="M596" s="3">
        <f t="shared" si="30"/>
        <v>-1.6189092090101653E-3</v>
      </c>
      <c r="N596" s="3">
        <f t="shared" si="30"/>
        <v>6.2450565111568821E-3</v>
      </c>
    </row>
    <row r="597" spans="1:14" x14ac:dyDescent="0.3">
      <c r="A597" s="2">
        <v>45163</v>
      </c>
      <c r="B597" s="3">
        <v>178.61</v>
      </c>
      <c r="C597" s="3">
        <v>46.02</v>
      </c>
      <c r="D597" s="3">
        <v>238.59</v>
      </c>
      <c r="E597" s="3">
        <v>35.39</v>
      </c>
      <c r="F597" s="3">
        <v>30.91</v>
      </c>
      <c r="G597" s="4">
        <v>4405.71</v>
      </c>
      <c r="I597" s="3">
        <f t="shared" si="29"/>
        <v>1.2563899456357483E-2</v>
      </c>
      <c r="J597" s="3">
        <f t="shared" si="29"/>
        <v>-2.4469991061950268E-2</v>
      </c>
      <c r="K597" s="3">
        <f t="shared" si="29"/>
        <v>3.6493390791600154E-2</v>
      </c>
      <c r="L597" s="3">
        <f t="shared" si="29"/>
        <v>4.5313020042257509E-3</v>
      </c>
      <c r="M597" s="3">
        <f t="shared" si="30"/>
        <v>1.1387791845705297E-2</v>
      </c>
      <c r="N597" s="3">
        <f t="shared" si="30"/>
        <v>6.6955233154781116E-3</v>
      </c>
    </row>
    <row r="598" spans="1:14" x14ac:dyDescent="0.3">
      <c r="A598" s="2">
        <v>45162</v>
      </c>
      <c r="B598" s="3">
        <v>176.38</v>
      </c>
      <c r="C598" s="3">
        <v>47.16</v>
      </c>
      <c r="D598" s="3">
        <v>230.04</v>
      </c>
      <c r="E598" s="3">
        <v>35.229999999999997</v>
      </c>
      <c r="F598" s="3">
        <v>30.56</v>
      </c>
      <c r="G598" s="4">
        <v>4376.3100000000004</v>
      </c>
      <c r="I598" s="3">
        <f t="shared" si="29"/>
        <v>-2.6519036554783462E-2</v>
      </c>
      <c r="J598" s="3">
        <f t="shared" si="29"/>
        <v>8.4853632583886413E-4</v>
      </c>
      <c r="K598" s="3">
        <f t="shared" si="29"/>
        <v>-2.9216042447795618E-2</v>
      </c>
      <c r="L598" s="3">
        <f t="shared" si="29"/>
        <v>-6.5073082929156256E-3</v>
      </c>
      <c r="M598" s="3">
        <f t="shared" si="30"/>
        <v>-1.4295240186826584E-2</v>
      </c>
      <c r="N598" s="3">
        <f t="shared" si="30"/>
        <v>-1.3549420207499292E-2</v>
      </c>
    </row>
    <row r="599" spans="1:14" x14ac:dyDescent="0.3">
      <c r="A599" s="2">
        <v>45161</v>
      </c>
      <c r="B599" s="3">
        <v>181.12</v>
      </c>
      <c r="C599" s="3">
        <v>47.12</v>
      </c>
      <c r="D599" s="3">
        <v>236.86</v>
      </c>
      <c r="E599" s="3">
        <v>35.46</v>
      </c>
      <c r="F599" s="3">
        <v>31</v>
      </c>
      <c r="G599" s="4">
        <v>4436.01</v>
      </c>
      <c r="I599" s="3">
        <f t="shared" si="29"/>
        <v>2.171147094776997E-2</v>
      </c>
      <c r="J599" s="3">
        <f t="shared" si="29"/>
        <v>3.1255912146423627E-2</v>
      </c>
      <c r="K599" s="3">
        <f t="shared" si="29"/>
        <v>1.5615677383111074E-2</v>
      </c>
      <c r="L599" s="3">
        <f t="shared" si="29"/>
        <v>7.9275613366497789E-3</v>
      </c>
      <c r="M599" s="3">
        <f t="shared" si="30"/>
        <v>1.593270575656789E-2</v>
      </c>
      <c r="N599" s="3">
        <f t="shared" si="30"/>
        <v>1.0984339030271489E-2</v>
      </c>
    </row>
    <row r="600" spans="1:14" x14ac:dyDescent="0.3">
      <c r="A600" s="2">
        <v>45160</v>
      </c>
      <c r="B600" s="3">
        <v>177.23</v>
      </c>
      <c r="C600" s="3">
        <v>45.67</v>
      </c>
      <c r="D600" s="3">
        <v>233.19</v>
      </c>
      <c r="E600" s="3">
        <v>35.18</v>
      </c>
      <c r="F600" s="3">
        <v>30.51</v>
      </c>
      <c r="G600" s="4">
        <v>4387.55</v>
      </c>
      <c r="I600" s="3">
        <f t="shared" si="29"/>
        <v>7.8738334117370596E-3</v>
      </c>
      <c r="J600" s="3">
        <f t="shared" si="29"/>
        <v>-2.806747284199609E-2</v>
      </c>
      <c r="K600" s="3">
        <f t="shared" si="29"/>
        <v>8.2244742021472424E-3</v>
      </c>
      <c r="L600" s="3">
        <f t="shared" si="29"/>
        <v>3.7021258288131103E-3</v>
      </c>
      <c r="M600" s="3">
        <f t="shared" si="30"/>
        <v>-6.5338357241527039E-3</v>
      </c>
      <c r="N600" s="3">
        <f t="shared" si="30"/>
        <v>-2.7812820922299762E-3</v>
      </c>
    </row>
    <row r="601" spans="1:14" x14ac:dyDescent="0.3">
      <c r="A601" s="2">
        <v>45159</v>
      </c>
      <c r="B601" s="3">
        <v>175.84</v>
      </c>
      <c r="C601" s="3">
        <v>46.97</v>
      </c>
      <c r="D601" s="3">
        <v>231.28</v>
      </c>
      <c r="E601" s="3">
        <v>35.049999999999997</v>
      </c>
      <c r="F601" s="3">
        <v>30.71</v>
      </c>
      <c r="G601" s="4">
        <v>4399.7700000000004</v>
      </c>
      <c r="I601" s="3">
        <f t="shared" si="29"/>
        <v>7.7070572451726866E-3</v>
      </c>
      <c r="J601" s="3">
        <f t="shared" si="29"/>
        <v>8.135646503045954E-2</v>
      </c>
      <c r="K601" s="3">
        <f t="shared" si="29"/>
        <v>7.0714592953270566E-2</v>
      </c>
      <c r="L601" s="3">
        <f t="shared" si="29"/>
        <v>-5.9735634891250793E-3</v>
      </c>
      <c r="M601" s="3">
        <f t="shared" si="30"/>
        <v>-5.1965040613369574E-3</v>
      </c>
      <c r="N601" s="3">
        <f t="shared" si="30"/>
        <v>6.8556214812669266E-3</v>
      </c>
    </row>
    <row r="602" spans="1:14" x14ac:dyDescent="0.3">
      <c r="A602" s="2">
        <v>45156</v>
      </c>
      <c r="B602" s="3">
        <v>174.49</v>
      </c>
      <c r="C602" s="3">
        <v>43.3</v>
      </c>
      <c r="D602" s="3">
        <v>215.49</v>
      </c>
      <c r="E602" s="3">
        <v>35.26</v>
      </c>
      <c r="F602" s="3">
        <v>30.87</v>
      </c>
      <c r="G602" s="4">
        <v>4369.71</v>
      </c>
      <c r="I602" s="3">
        <f t="shared" si="29"/>
        <v>2.8121341956095711E-3</v>
      </c>
      <c r="J602" s="3">
        <f t="shared" si="29"/>
        <v>-9.233610997689838E-4</v>
      </c>
      <c r="K602" s="3">
        <f t="shared" si="29"/>
        <v>-1.7161287032757391E-2</v>
      </c>
      <c r="L602" s="3">
        <f t="shared" si="29"/>
        <v>1.112231628216441E-2</v>
      </c>
      <c r="M602" s="3">
        <f t="shared" si="30"/>
        <v>1.9627715480440622E-2</v>
      </c>
      <c r="N602" s="3">
        <f t="shared" si="30"/>
        <v>-1.4874022775515319E-4</v>
      </c>
    </row>
    <row r="603" spans="1:14" x14ac:dyDescent="0.3">
      <c r="A603" s="2">
        <v>45155</v>
      </c>
      <c r="B603" s="3">
        <v>174</v>
      </c>
      <c r="C603" s="3">
        <v>43.34</v>
      </c>
      <c r="D603" s="3">
        <v>219.22</v>
      </c>
      <c r="E603" s="3">
        <v>34.869999999999997</v>
      </c>
      <c r="F603" s="3">
        <v>30.27</v>
      </c>
      <c r="G603" s="4">
        <v>4370.3599999999997</v>
      </c>
      <c r="I603" s="3">
        <f t="shared" si="29"/>
        <v>-1.4662099100177803E-2</v>
      </c>
      <c r="J603" s="3">
        <f t="shared" si="29"/>
        <v>-3.4550305013340632E-3</v>
      </c>
      <c r="K603" s="3">
        <f t="shared" si="29"/>
        <v>-2.8687727836326522E-2</v>
      </c>
      <c r="L603" s="3">
        <f t="shared" si="29"/>
        <v>-2.863690387724719E-3</v>
      </c>
      <c r="M603" s="3">
        <f t="shared" si="30"/>
        <v>2.6463793148797416E-3</v>
      </c>
      <c r="N603" s="3">
        <f t="shared" si="30"/>
        <v>-7.7427623561250646E-3</v>
      </c>
    </row>
    <row r="604" spans="1:14" x14ac:dyDescent="0.3">
      <c r="A604" s="2">
        <v>45154</v>
      </c>
      <c r="B604" s="3">
        <v>176.57</v>
      </c>
      <c r="C604" s="3">
        <v>43.49</v>
      </c>
      <c r="D604" s="3">
        <v>225.6</v>
      </c>
      <c r="E604" s="3">
        <v>34.97</v>
      </c>
      <c r="F604" s="3">
        <v>30.19</v>
      </c>
      <c r="G604" s="4">
        <v>4404.33</v>
      </c>
      <c r="I604" s="3">
        <f t="shared" si="29"/>
        <v>-4.9714807777985716E-3</v>
      </c>
      <c r="J604" s="3">
        <f t="shared" si="29"/>
        <v>-1.0294040346916989E-2</v>
      </c>
      <c r="K604" s="3">
        <f t="shared" si="29"/>
        <v>-3.2103245384417431E-2</v>
      </c>
      <c r="L604" s="3">
        <f t="shared" si="29"/>
        <v>-3.9954391050564019E-3</v>
      </c>
      <c r="M604" s="3">
        <f t="shared" si="30"/>
        <v>-2.9766848505006138E-3</v>
      </c>
      <c r="N604" s="3">
        <f t="shared" si="30"/>
        <v>-7.5841303382103969E-3</v>
      </c>
    </row>
    <row r="605" spans="1:14" x14ac:dyDescent="0.3">
      <c r="A605" s="2">
        <v>45153</v>
      </c>
      <c r="B605" s="3">
        <v>177.45</v>
      </c>
      <c r="C605" s="3">
        <v>43.94</v>
      </c>
      <c r="D605" s="3">
        <v>232.96</v>
      </c>
      <c r="E605" s="3">
        <v>35.11</v>
      </c>
      <c r="F605" s="3">
        <v>30.28</v>
      </c>
      <c r="G605" s="4">
        <v>4437.8599999999997</v>
      </c>
      <c r="I605" s="3">
        <f t="shared" si="29"/>
        <v>-1.126346277740628E-2</v>
      </c>
      <c r="J605" s="3">
        <f t="shared" si="29"/>
        <v>4.3334541528405541E-3</v>
      </c>
      <c r="K605" s="3">
        <f t="shared" si="29"/>
        <v>-2.8771658000086534E-2</v>
      </c>
      <c r="L605" s="3">
        <f t="shared" si="29"/>
        <v>-6.2464711907129966E-3</v>
      </c>
      <c r="M605" s="3">
        <f t="shared" si="30"/>
        <v>-1.7676401322721691E-2</v>
      </c>
      <c r="N605" s="3">
        <f t="shared" si="30"/>
        <v>-1.1618060736365813E-2</v>
      </c>
    </row>
    <row r="606" spans="1:14" x14ac:dyDescent="0.3">
      <c r="A606" s="2">
        <v>45152</v>
      </c>
      <c r="B606" s="3">
        <v>179.46</v>
      </c>
      <c r="C606" s="3">
        <v>43.75</v>
      </c>
      <c r="D606" s="3">
        <v>239.76</v>
      </c>
      <c r="E606" s="3">
        <v>35.33</v>
      </c>
      <c r="F606" s="3">
        <v>30.82</v>
      </c>
      <c r="G606" s="4">
        <v>4489.72</v>
      </c>
      <c r="I606" s="3">
        <f t="shared" si="29"/>
        <v>9.349263341431456E-3</v>
      </c>
      <c r="J606" s="3">
        <f t="shared" si="29"/>
        <v>6.8584791497611514E-2</v>
      </c>
      <c r="K606" s="3">
        <f t="shared" si="29"/>
        <v>-1.1981652842817509E-2</v>
      </c>
      <c r="L606" s="3">
        <f t="shared" si="29"/>
        <v>-4.2366960703247979E-3</v>
      </c>
      <c r="M606" s="3">
        <f t="shared" si="30"/>
        <v>2.2738356394427436E-3</v>
      </c>
      <c r="N606" s="3">
        <f t="shared" si="30"/>
        <v>5.7339132747375263E-3</v>
      </c>
    </row>
    <row r="607" spans="1:14" x14ac:dyDescent="0.3">
      <c r="A607" s="2">
        <v>45149</v>
      </c>
      <c r="B607" s="3">
        <v>177.79</v>
      </c>
      <c r="C607" s="3">
        <v>40.85</v>
      </c>
      <c r="D607" s="3">
        <v>242.65</v>
      </c>
      <c r="E607" s="3">
        <v>35.479999999999997</v>
      </c>
      <c r="F607" s="3">
        <v>30.75</v>
      </c>
      <c r="G607" s="4">
        <v>4464.05</v>
      </c>
      <c r="I607" s="3">
        <f t="shared" si="29"/>
        <v>-1.0119182334140055E-3</v>
      </c>
      <c r="J607" s="3">
        <f t="shared" si="29"/>
        <v>-3.7005664058533852E-2</v>
      </c>
      <c r="K607" s="3">
        <f t="shared" si="29"/>
        <v>-1.1024927753380737E-2</v>
      </c>
      <c r="L607" s="3">
        <f t="shared" si="29"/>
        <v>4.2366960703249211E-3</v>
      </c>
      <c r="M607" s="3">
        <f t="shared" si="30"/>
        <v>-5.5132294666944094E-3</v>
      </c>
      <c r="N607" s="3">
        <f t="shared" si="30"/>
        <v>-1.0702036647139679E-3</v>
      </c>
    </row>
    <row r="608" spans="1:14" x14ac:dyDescent="0.3">
      <c r="A608" s="2">
        <v>45148</v>
      </c>
      <c r="B608" s="3">
        <v>177.97</v>
      </c>
      <c r="C608" s="3">
        <v>42.39</v>
      </c>
      <c r="D608" s="3">
        <v>245.34</v>
      </c>
      <c r="E608" s="3">
        <v>35.33</v>
      </c>
      <c r="F608" s="3">
        <v>30.92</v>
      </c>
      <c r="G608" s="4">
        <v>4468.83</v>
      </c>
      <c r="I608" s="3">
        <f t="shared" si="29"/>
        <v>-1.235399977429129E-3</v>
      </c>
      <c r="J608" s="3">
        <f t="shared" si="29"/>
        <v>-3.7673696548373202E-3</v>
      </c>
      <c r="K608" s="3">
        <f t="shared" si="29"/>
        <v>1.2922461529572153E-2</v>
      </c>
      <c r="L608" s="3">
        <f t="shared" si="29"/>
        <v>-2.1837373918312569E-2</v>
      </c>
      <c r="M608" s="3">
        <f t="shared" si="30"/>
        <v>-6.126087190324361E-3</v>
      </c>
      <c r="N608" s="3">
        <f t="shared" si="30"/>
        <v>2.5065629558288107E-4</v>
      </c>
    </row>
    <row r="609" spans="1:14" x14ac:dyDescent="0.3">
      <c r="A609" s="2">
        <v>45147</v>
      </c>
      <c r="B609" s="3">
        <v>178.19</v>
      </c>
      <c r="C609" s="3">
        <v>42.55</v>
      </c>
      <c r="D609" s="3">
        <v>242.19</v>
      </c>
      <c r="E609" s="3">
        <v>36.11</v>
      </c>
      <c r="F609" s="3">
        <v>31.11</v>
      </c>
      <c r="G609" s="4">
        <v>4467.71</v>
      </c>
      <c r="I609" s="3">
        <f t="shared" si="29"/>
        <v>-8.9947252981966482E-3</v>
      </c>
      <c r="J609" s="3">
        <f t="shared" si="29"/>
        <v>-4.8398391392628609E-2</v>
      </c>
      <c r="K609" s="3">
        <f t="shared" si="29"/>
        <v>-3.0537655210693675E-2</v>
      </c>
      <c r="L609" s="3">
        <f t="shared" si="29"/>
        <v>1.2820688429061469E-2</v>
      </c>
      <c r="M609" s="3">
        <f t="shared" si="30"/>
        <v>-6.4082244287686496E-3</v>
      </c>
      <c r="N609" s="3">
        <f t="shared" si="30"/>
        <v>-7.0636364040070568E-3</v>
      </c>
    </row>
    <row r="610" spans="1:14" x14ac:dyDescent="0.3">
      <c r="A610" s="2">
        <v>45146</v>
      </c>
      <c r="B610" s="3">
        <v>179.8</v>
      </c>
      <c r="C610" s="3">
        <v>44.66</v>
      </c>
      <c r="D610" s="3">
        <v>249.7</v>
      </c>
      <c r="E610" s="3">
        <v>35.65</v>
      </c>
      <c r="F610" s="3">
        <v>31.31</v>
      </c>
      <c r="G610" s="4">
        <v>4499.38</v>
      </c>
      <c r="I610" s="3">
        <f t="shared" si="29"/>
        <v>5.2976563324931914E-3</v>
      </c>
      <c r="J610" s="3">
        <f t="shared" si="29"/>
        <v>-1.6874290265400698E-2</v>
      </c>
      <c r="K610" s="3">
        <f t="shared" si="29"/>
        <v>-6.9839653322462487E-3</v>
      </c>
      <c r="L610" s="3">
        <f t="shared" si="29"/>
        <v>1.6844473382035274E-3</v>
      </c>
      <c r="M610" s="3">
        <f t="shared" si="30"/>
        <v>-1.4899625770255694E-2</v>
      </c>
      <c r="N610" s="3">
        <f t="shared" si="30"/>
        <v>-4.227192022498048E-3</v>
      </c>
    </row>
    <row r="611" spans="1:14" x14ac:dyDescent="0.3">
      <c r="A611" s="2">
        <v>45145</v>
      </c>
      <c r="B611" s="3">
        <v>178.85</v>
      </c>
      <c r="C611" s="3">
        <v>45.42</v>
      </c>
      <c r="D611" s="3">
        <v>251.45</v>
      </c>
      <c r="E611" s="3">
        <v>35.590000000000003</v>
      </c>
      <c r="F611" s="3">
        <v>31.78</v>
      </c>
      <c r="G611" s="4">
        <v>4518.4399999999996</v>
      </c>
      <c r="I611" s="3">
        <f t="shared" si="29"/>
        <v>-1.7404274807288778E-2</v>
      </c>
      <c r="J611" s="3">
        <f t="shared" si="29"/>
        <v>1.6426562476412544E-2</v>
      </c>
      <c r="K611" s="3">
        <f t="shared" si="29"/>
        <v>-9.5387713420574099E-3</v>
      </c>
      <c r="L611" s="3">
        <f t="shared" si="29"/>
        <v>1.968781398131959E-3</v>
      </c>
      <c r="M611" s="3">
        <f t="shared" si="30"/>
        <v>8.2148961188915279E-3</v>
      </c>
      <c r="N611" s="3">
        <f t="shared" si="30"/>
        <v>8.9835839552586446E-3</v>
      </c>
    </row>
    <row r="612" spans="1:14" x14ac:dyDescent="0.3">
      <c r="A612" s="2">
        <v>45142</v>
      </c>
      <c r="B612" s="3">
        <v>181.99</v>
      </c>
      <c r="C612" s="3">
        <v>44.68</v>
      </c>
      <c r="D612" s="3">
        <v>253.86</v>
      </c>
      <c r="E612" s="3">
        <v>35.520000000000003</v>
      </c>
      <c r="F612" s="3">
        <v>31.52</v>
      </c>
      <c r="G612" s="4">
        <v>4478.03</v>
      </c>
      <c r="I612" s="3">
        <f t="shared" si="29"/>
        <v>-4.9211344028611312E-2</v>
      </c>
      <c r="J612" s="3">
        <f t="shared" si="29"/>
        <v>3.8120911732371027E-3</v>
      </c>
      <c r="K612" s="3">
        <f t="shared" si="29"/>
        <v>-2.1279886346763744E-2</v>
      </c>
      <c r="L612" s="3">
        <f t="shared" si="29"/>
        <v>-3.653228736335478E-3</v>
      </c>
      <c r="M612" s="3">
        <f t="shared" si="30"/>
        <v>-4.3154297965570063E-2</v>
      </c>
      <c r="N612" s="3">
        <f t="shared" si="30"/>
        <v>-5.3140910274567365E-3</v>
      </c>
    </row>
    <row r="613" spans="1:14" x14ac:dyDescent="0.3">
      <c r="A613" s="2">
        <v>45141</v>
      </c>
      <c r="B613" s="3">
        <v>191.17</v>
      </c>
      <c r="C613" s="3">
        <v>44.51</v>
      </c>
      <c r="D613" s="3">
        <v>259.32</v>
      </c>
      <c r="E613" s="3">
        <v>35.65</v>
      </c>
      <c r="F613" s="3">
        <v>32.909999999999997</v>
      </c>
      <c r="G613" s="4">
        <v>4501.8900000000003</v>
      </c>
      <c r="I613" s="3">
        <f t="shared" si="29"/>
        <v>-7.3485672712110756E-3</v>
      </c>
      <c r="J613" s="3">
        <f t="shared" si="29"/>
        <v>5.4066362837131739E-3</v>
      </c>
      <c r="K613" s="3">
        <f t="shared" si="29"/>
        <v>2.0295576170238732E-2</v>
      </c>
      <c r="L613" s="3">
        <f t="shared" si="29"/>
        <v>2.5277362146009833E-3</v>
      </c>
      <c r="M613" s="3">
        <f t="shared" si="30"/>
        <v>-1.5181420860225327E-3</v>
      </c>
      <c r="N613" s="3">
        <f t="shared" si="30"/>
        <v>-2.5512255276715053E-3</v>
      </c>
    </row>
    <row r="614" spans="1:14" x14ac:dyDescent="0.3">
      <c r="A614" s="2">
        <v>45140</v>
      </c>
      <c r="B614" s="3">
        <v>192.58</v>
      </c>
      <c r="C614" s="3">
        <v>44.27</v>
      </c>
      <c r="D614" s="3">
        <v>254.11</v>
      </c>
      <c r="E614" s="3">
        <v>35.56</v>
      </c>
      <c r="F614" s="3">
        <v>32.96</v>
      </c>
      <c r="G614" s="4">
        <v>4513.3900000000003</v>
      </c>
      <c r="I614" s="3">
        <f t="shared" si="29"/>
        <v>-1.5560105788579019E-2</v>
      </c>
      <c r="J614" s="3">
        <f t="shared" si="29"/>
        <v>-4.9360096491955836E-2</v>
      </c>
      <c r="K614" s="3">
        <f t="shared" si="29"/>
        <v>-2.7021326460868481E-2</v>
      </c>
      <c r="L614" s="3">
        <f t="shared" si="29"/>
        <v>-5.8881426252225975E-3</v>
      </c>
      <c r="M614" s="3">
        <f t="shared" si="30"/>
        <v>-1.0562947164317327E-2</v>
      </c>
      <c r="N614" s="3">
        <f t="shared" si="30"/>
        <v>-1.3936235197657028E-2</v>
      </c>
    </row>
    <row r="615" spans="1:14" x14ac:dyDescent="0.3">
      <c r="A615" s="2">
        <v>45139</v>
      </c>
      <c r="B615" s="3">
        <v>195.6</v>
      </c>
      <c r="C615" s="3">
        <v>46.51</v>
      </c>
      <c r="D615" s="3">
        <v>261.07</v>
      </c>
      <c r="E615" s="3">
        <v>35.770000000000003</v>
      </c>
      <c r="F615" s="3">
        <v>33.31</v>
      </c>
      <c r="G615" s="4">
        <v>4576.7299999999996</v>
      </c>
      <c r="I615" s="3">
        <f t="shared" si="29"/>
        <v>-4.3361884037517399E-3</v>
      </c>
      <c r="J615" s="3">
        <f t="shared" si="29"/>
        <v>-4.7190134763290918E-3</v>
      </c>
      <c r="K615" s="3">
        <f t="shared" si="29"/>
        <v>-2.4069279250873519E-2</v>
      </c>
      <c r="L615" s="3">
        <f t="shared" si="29"/>
        <v>-5.5897150700798021E-4</v>
      </c>
      <c r="M615" s="3">
        <f t="shared" si="30"/>
        <v>-3.0016509305360792E-4</v>
      </c>
      <c r="N615" s="3">
        <f t="shared" si="30"/>
        <v>-2.668649552448092E-3</v>
      </c>
    </row>
    <row r="616" spans="1:14" x14ac:dyDescent="0.3">
      <c r="A616" s="2">
        <v>45138</v>
      </c>
      <c r="B616" s="3">
        <v>196.45</v>
      </c>
      <c r="C616" s="3">
        <v>46.73</v>
      </c>
      <c r="D616" s="3">
        <v>267.43</v>
      </c>
      <c r="E616" s="3">
        <v>35.79</v>
      </c>
      <c r="F616" s="3">
        <v>33.32</v>
      </c>
      <c r="G616" s="4">
        <v>4588.96</v>
      </c>
      <c r="I616" s="3">
        <f t="shared" si="29"/>
        <v>3.1610100757235426E-3</v>
      </c>
      <c r="J616" s="3">
        <f t="shared" si="29"/>
        <v>-4.278990223612579E-4</v>
      </c>
      <c r="K616" s="3">
        <f t="shared" si="29"/>
        <v>3.7087723033195487E-3</v>
      </c>
      <c r="L616" s="3">
        <f t="shared" si="29"/>
        <v>1.0391892423246989E-2</v>
      </c>
      <c r="M616" s="3">
        <f t="shared" si="30"/>
        <v>-1.4302985190331028E-2</v>
      </c>
      <c r="N616" s="3">
        <f t="shared" si="30"/>
        <v>1.4676396864565879E-3</v>
      </c>
    </row>
    <row r="617" spans="1:14" x14ac:dyDescent="0.3">
      <c r="A617" s="2">
        <v>45135</v>
      </c>
      <c r="B617" s="3">
        <v>195.83</v>
      </c>
      <c r="C617" s="3">
        <v>46.75</v>
      </c>
      <c r="D617" s="3">
        <v>266.44</v>
      </c>
      <c r="E617" s="3">
        <v>35.42</v>
      </c>
      <c r="F617" s="3">
        <v>33.799999999999997</v>
      </c>
      <c r="G617" s="4">
        <v>4582.2299999999996</v>
      </c>
      <c r="I617" s="3">
        <f t="shared" si="29"/>
        <v>1.3417499839381564E-2</v>
      </c>
      <c r="J617" s="3">
        <f t="shared" si="29"/>
        <v>1.8349138668196617E-2</v>
      </c>
      <c r="K617" s="3">
        <f t="shared" si="29"/>
        <v>4.1105087682474298E-2</v>
      </c>
      <c r="L617" s="3">
        <f t="shared" si="29"/>
        <v>2.1690348067227527E-2</v>
      </c>
      <c r="M617" s="3">
        <f t="shared" si="30"/>
        <v>2.3044563086274748E-2</v>
      </c>
      <c r="N617" s="3">
        <f t="shared" si="30"/>
        <v>9.8294145087675765E-3</v>
      </c>
    </row>
    <row r="618" spans="1:14" x14ac:dyDescent="0.3">
      <c r="A618" s="2">
        <v>45134</v>
      </c>
      <c r="B618" s="3">
        <v>193.22</v>
      </c>
      <c r="C618" s="3">
        <v>45.9</v>
      </c>
      <c r="D618" s="3">
        <v>255.71</v>
      </c>
      <c r="E618" s="3">
        <v>34.659999999999997</v>
      </c>
      <c r="F618" s="3">
        <v>33.03</v>
      </c>
      <c r="G618" s="4">
        <v>4537.41</v>
      </c>
      <c r="I618" s="3">
        <f t="shared" si="29"/>
        <v>-6.6027269691374931E-3</v>
      </c>
      <c r="J618" s="3">
        <f t="shared" si="29"/>
        <v>9.8522964430116395E-3</v>
      </c>
      <c r="K618" s="3">
        <f t="shared" si="29"/>
        <v>-3.3229992818954869E-2</v>
      </c>
      <c r="L618" s="3">
        <f t="shared" si="29"/>
        <v>-2.4791125745475821E-2</v>
      </c>
      <c r="M618" s="3">
        <f t="shared" si="30"/>
        <v>2.4249784541819693E-3</v>
      </c>
      <c r="N618" s="3">
        <f t="shared" si="30"/>
        <v>-6.4454274911412875E-3</v>
      </c>
    </row>
    <row r="619" spans="1:14" x14ac:dyDescent="0.3">
      <c r="A619" s="2">
        <v>45133</v>
      </c>
      <c r="B619" s="3">
        <v>194.5</v>
      </c>
      <c r="C619" s="3">
        <v>45.45</v>
      </c>
      <c r="D619" s="3">
        <v>264.35000000000002</v>
      </c>
      <c r="E619" s="3">
        <v>35.53</v>
      </c>
      <c r="F619" s="3">
        <v>32.950000000000003</v>
      </c>
      <c r="G619" s="4">
        <v>4566.75</v>
      </c>
      <c r="I619" s="3">
        <f t="shared" si="29"/>
        <v>4.5346877665754255E-3</v>
      </c>
      <c r="J619" s="3">
        <f t="shared" si="29"/>
        <v>-5.0477447242668625E-3</v>
      </c>
      <c r="K619" s="3">
        <f t="shared" si="29"/>
        <v>-3.5118892654707424E-3</v>
      </c>
      <c r="L619" s="3">
        <f t="shared" si="29"/>
        <v>-5.8930996983462651E-3</v>
      </c>
      <c r="M619" s="3">
        <f t="shared" si="30"/>
        <v>-6.6545920104447431E-3</v>
      </c>
      <c r="N619" s="3">
        <f t="shared" si="30"/>
        <v>-1.5545953102232801E-4</v>
      </c>
    </row>
    <row r="620" spans="1:14" x14ac:dyDescent="0.3">
      <c r="A620" s="2">
        <v>45132</v>
      </c>
      <c r="B620" s="3">
        <v>193.62</v>
      </c>
      <c r="C620" s="3">
        <v>45.68</v>
      </c>
      <c r="D620" s="3">
        <v>265.27999999999997</v>
      </c>
      <c r="E620" s="3">
        <v>35.74</v>
      </c>
      <c r="F620" s="3">
        <v>33.17</v>
      </c>
      <c r="G620" s="4">
        <v>4567.46</v>
      </c>
      <c r="I620" s="3">
        <f t="shared" si="29"/>
        <v>4.5034628484867016E-3</v>
      </c>
      <c r="J620" s="3">
        <f t="shared" si="29"/>
        <v>2.3702516207581473E-2</v>
      </c>
      <c r="K620" s="3">
        <f t="shared" si="29"/>
        <v>-1.414853111046682E-2</v>
      </c>
      <c r="L620" s="3">
        <f t="shared" si="29"/>
        <v>-2.7940783754477716E-3</v>
      </c>
      <c r="M620" s="3">
        <f t="shared" si="30"/>
        <v>1.9790568279351217E-2</v>
      </c>
      <c r="N620" s="3">
        <f t="shared" si="30"/>
        <v>2.8107581456501534E-3</v>
      </c>
    </row>
    <row r="621" spans="1:14" x14ac:dyDescent="0.3">
      <c r="A621" s="2">
        <v>45131</v>
      </c>
      <c r="B621" s="3">
        <v>192.75</v>
      </c>
      <c r="C621" s="3">
        <v>44.61</v>
      </c>
      <c r="D621" s="3">
        <v>269.06</v>
      </c>
      <c r="E621" s="3">
        <v>35.840000000000003</v>
      </c>
      <c r="F621" s="3">
        <v>32.520000000000003</v>
      </c>
      <c r="G621" s="4">
        <v>4554.6400000000003</v>
      </c>
      <c r="I621" s="3">
        <f t="shared" si="29"/>
        <v>4.2111892539572022E-3</v>
      </c>
      <c r="J621" s="3">
        <f t="shared" si="29"/>
        <v>6.747663928775279E-3</v>
      </c>
      <c r="K621" s="3">
        <f t="shared" si="29"/>
        <v>3.4175851923374335E-2</v>
      </c>
      <c r="L621" s="3">
        <f t="shared" si="29"/>
        <v>1.1505669229349258E-2</v>
      </c>
      <c r="M621" s="3">
        <f t="shared" si="30"/>
        <v>1.8467225931647112E-3</v>
      </c>
      <c r="N621" s="3">
        <f t="shared" si="30"/>
        <v>4.0259740353417468E-3</v>
      </c>
    </row>
    <row r="622" spans="1:14" x14ac:dyDescent="0.3">
      <c r="A622" s="2">
        <v>45128</v>
      </c>
      <c r="B622" s="3">
        <v>191.94</v>
      </c>
      <c r="C622" s="3">
        <v>44.31</v>
      </c>
      <c r="D622" s="3">
        <v>260.02</v>
      </c>
      <c r="E622" s="3">
        <v>35.43</v>
      </c>
      <c r="F622" s="3">
        <v>32.46</v>
      </c>
      <c r="G622" s="4">
        <v>4536.34</v>
      </c>
      <c r="I622" s="3">
        <f t="shared" si="29"/>
        <v>-6.1807140950263561E-3</v>
      </c>
      <c r="J622" s="3">
        <f t="shared" si="29"/>
        <v>-2.6941404606677401E-2</v>
      </c>
      <c r="K622" s="3">
        <f t="shared" si="29"/>
        <v>-1.1015180601812861E-2</v>
      </c>
      <c r="L622" s="3">
        <f t="shared" si="29"/>
        <v>2.1972634589920773E-2</v>
      </c>
      <c r="M622" s="3">
        <f t="shared" si="30"/>
        <v>-3.7785967159524154E-2</v>
      </c>
      <c r="N622" s="3">
        <f t="shared" si="30"/>
        <v>3.2410230010493271E-4</v>
      </c>
    </row>
    <row r="623" spans="1:14" x14ac:dyDescent="0.3">
      <c r="A623" s="2">
        <v>45127</v>
      </c>
      <c r="B623" s="3">
        <v>193.13</v>
      </c>
      <c r="C623" s="3">
        <v>45.52</v>
      </c>
      <c r="D623" s="3">
        <v>262.89999999999998</v>
      </c>
      <c r="E623" s="3">
        <v>34.659999999999997</v>
      </c>
      <c r="F623" s="3">
        <v>33.71</v>
      </c>
      <c r="G623" s="4">
        <v>4534.87</v>
      </c>
      <c r="I623" s="3">
        <f t="shared" si="29"/>
        <v>-1.0148710344557488E-2</v>
      </c>
      <c r="J623" s="3">
        <f t="shared" si="29"/>
        <v>-3.3696492574000335E-2</v>
      </c>
      <c r="K623" s="3">
        <f t="shared" si="29"/>
        <v>-0.10244260731859882</v>
      </c>
      <c r="L623" s="3">
        <f t="shared" si="29"/>
        <v>-1.5459798316591536E-2</v>
      </c>
      <c r="M623" s="3">
        <f t="shared" si="30"/>
        <v>-2.666273243003653E-3</v>
      </c>
      <c r="N623" s="3">
        <f t="shared" si="30"/>
        <v>-6.7798061818515913E-3</v>
      </c>
    </row>
    <row r="624" spans="1:14" x14ac:dyDescent="0.3">
      <c r="A624" s="2">
        <v>45126</v>
      </c>
      <c r="B624" s="3">
        <v>195.1</v>
      </c>
      <c r="C624" s="3">
        <v>47.08</v>
      </c>
      <c r="D624" s="3">
        <v>291.26</v>
      </c>
      <c r="E624" s="3">
        <v>35.200000000000003</v>
      </c>
      <c r="F624" s="3">
        <v>33.799999999999997</v>
      </c>
      <c r="G624" s="4">
        <v>4565.72</v>
      </c>
      <c r="I624" s="3">
        <f t="shared" si="29"/>
        <v>7.0468105302110336E-3</v>
      </c>
      <c r="J624" s="3">
        <f t="shared" si="29"/>
        <v>-8.6708801689545593E-3</v>
      </c>
      <c r="K624" s="3">
        <f t="shared" si="29"/>
        <v>-7.1160067641748365E-3</v>
      </c>
      <c r="L624" s="3">
        <f t="shared" si="29"/>
        <v>4.5558165358608824E-3</v>
      </c>
      <c r="M624" s="3">
        <f t="shared" si="30"/>
        <v>1.4803851704342031E-3</v>
      </c>
      <c r="N624" s="3">
        <f t="shared" si="30"/>
        <v>2.3550834835142126E-3</v>
      </c>
    </row>
    <row r="625" spans="1:14" x14ac:dyDescent="0.3">
      <c r="A625" s="2">
        <v>45125</v>
      </c>
      <c r="B625" s="3">
        <v>193.73</v>
      </c>
      <c r="C625" s="3">
        <v>47.49</v>
      </c>
      <c r="D625" s="3">
        <v>293.33999999999997</v>
      </c>
      <c r="E625" s="3">
        <v>35.04</v>
      </c>
      <c r="F625" s="3">
        <v>33.75</v>
      </c>
      <c r="G625" s="4">
        <v>4554.9799999999996</v>
      </c>
      <c r="I625" s="3">
        <f t="shared" si="29"/>
        <v>-1.3411742441602579E-3</v>
      </c>
      <c r="J625" s="3">
        <f t="shared" si="29"/>
        <v>2.1927435218767378E-2</v>
      </c>
      <c r="K625" s="3">
        <f t="shared" si="29"/>
        <v>1.0141935763067459E-2</v>
      </c>
      <c r="L625" s="3">
        <f t="shared" si="29"/>
        <v>1.1192540432278492E-2</v>
      </c>
      <c r="M625" s="3">
        <f t="shared" si="30"/>
        <v>1.5828313133390025E-2</v>
      </c>
      <c r="N625" s="3">
        <f t="shared" si="30"/>
        <v>7.0920798661324126E-3</v>
      </c>
    </row>
    <row r="626" spans="1:14" x14ac:dyDescent="0.3">
      <c r="A626" s="2">
        <v>45124</v>
      </c>
      <c r="B626" s="3">
        <v>193.99</v>
      </c>
      <c r="C626" s="3">
        <v>46.46</v>
      </c>
      <c r="D626" s="3">
        <v>290.38</v>
      </c>
      <c r="E626" s="3">
        <v>34.65</v>
      </c>
      <c r="F626" s="3">
        <v>33.22</v>
      </c>
      <c r="G626" s="4">
        <v>4522.79</v>
      </c>
      <c r="I626" s="3">
        <f t="shared" si="29"/>
        <v>1.7157538496479198E-2</v>
      </c>
      <c r="J626" s="3">
        <f t="shared" si="29"/>
        <v>2.1538959505343919E-2</v>
      </c>
      <c r="K626" s="3">
        <f t="shared" si="29"/>
        <v>3.1484341106474446E-2</v>
      </c>
      <c r="L626" s="3">
        <f t="shared" si="29"/>
        <v>8.695706967553913E-3</v>
      </c>
      <c r="M626" s="3">
        <f t="shared" si="30"/>
        <v>-1.2266421567029577E-2</v>
      </c>
      <c r="N626" s="3">
        <f t="shared" si="30"/>
        <v>3.8479435973795429E-3</v>
      </c>
    </row>
    <row r="627" spans="1:14" x14ac:dyDescent="0.3">
      <c r="A627" s="2">
        <v>45121</v>
      </c>
      <c r="B627" s="3">
        <v>190.69</v>
      </c>
      <c r="C627" s="3">
        <v>45.47</v>
      </c>
      <c r="D627" s="3">
        <v>281.38</v>
      </c>
      <c r="E627" s="3">
        <v>34.35</v>
      </c>
      <c r="F627" s="3">
        <v>33.630000000000003</v>
      </c>
      <c r="G627" s="4">
        <v>4505.42</v>
      </c>
      <c r="I627" s="3">
        <f t="shared" si="29"/>
        <v>7.8692656790220266E-4</v>
      </c>
      <c r="J627" s="3">
        <f t="shared" si="29"/>
        <v>-1.1153751498116289E-2</v>
      </c>
      <c r="K627" s="3">
        <f t="shared" si="29"/>
        <v>1.2444732200609191E-2</v>
      </c>
      <c r="L627" s="3">
        <f t="shared" si="29"/>
        <v>-9.5611332439827345E-3</v>
      </c>
      <c r="M627" s="3">
        <f t="shared" si="30"/>
        <v>-2.6726073814763254E-3</v>
      </c>
      <c r="N627" s="3">
        <f t="shared" si="30"/>
        <v>-1.0249061954501163E-3</v>
      </c>
    </row>
    <row r="628" spans="1:14" x14ac:dyDescent="0.3">
      <c r="A628" s="2">
        <v>45120</v>
      </c>
      <c r="B628" s="3">
        <v>190.54</v>
      </c>
      <c r="C628" s="3">
        <v>45.98</v>
      </c>
      <c r="D628" s="3">
        <v>277.89999999999998</v>
      </c>
      <c r="E628" s="3">
        <v>34.68</v>
      </c>
      <c r="F628" s="3">
        <v>33.72</v>
      </c>
      <c r="G628" s="4">
        <v>4510.04</v>
      </c>
      <c r="I628" s="3">
        <f t="shared" si="29"/>
        <v>4.0493337127456971E-3</v>
      </c>
      <c r="J628" s="3">
        <f t="shared" si="29"/>
        <v>4.6292199253909823E-2</v>
      </c>
      <c r="K628" s="3">
        <f t="shared" si="29"/>
        <v>2.149603583418137E-2</v>
      </c>
      <c r="L628" s="3">
        <f t="shared" si="29"/>
        <v>6.9444723528112153E-3</v>
      </c>
      <c r="M628" s="3">
        <f t="shared" si="30"/>
        <v>5.6505726555173639E-3</v>
      </c>
      <c r="N628" s="3">
        <f t="shared" si="30"/>
        <v>8.434509266769535E-3</v>
      </c>
    </row>
    <row r="629" spans="1:14" x14ac:dyDescent="0.3">
      <c r="A629" s="2">
        <v>45119</v>
      </c>
      <c r="B629" s="3">
        <v>189.77</v>
      </c>
      <c r="C629" s="3">
        <v>43.9</v>
      </c>
      <c r="D629" s="3">
        <v>271.99</v>
      </c>
      <c r="E629" s="3">
        <v>34.44</v>
      </c>
      <c r="F629" s="3">
        <v>33.53</v>
      </c>
      <c r="G629" s="4">
        <v>4472.16</v>
      </c>
      <c r="I629" s="3">
        <f t="shared" si="29"/>
        <v>8.9454083340733282E-3</v>
      </c>
      <c r="J629" s="3">
        <f t="shared" si="29"/>
        <v>3.4765957843213659E-2</v>
      </c>
      <c r="K629" s="3">
        <f t="shared" si="29"/>
        <v>8.1214223197426903E-3</v>
      </c>
      <c r="L629" s="3">
        <f t="shared" si="29"/>
        <v>1.197619104671562E-2</v>
      </c>
      <c r="M629" s="3">
        <f t="shared" si="30"/>
        <v>-7.1322739193391809E-3</v>
      </c>
      <c r="N629" s="3">
        <f t="shared" si="30"/>
        <v>7.383817501052891E-3</v>
      </c>
    </row>
    <row r="630" spans="1:14" x14ac:dyDescent="0.3">
      <c r="A630" s="2">
        <v>45118</v>
      </c>
      <c r="B630" s="3">
        <v>188.08</v>
      </c>
      <c r="C630" s="3">
        <v>42.4</v>
      </c>
      <c r="D630" s="3">
        <v>269.79000000000002</v>
      </c>
      <c r="E630" s="3">
        <v>34.03</v>
      </c>
      <c r="F630" s="3">
        <v>33.770000000000003</v>
      </c>
      <c r="G630" s="4">
        <v>4439.26</v>
      </c>
      <c r="I630" s="3">
        <f t="shared" si="29"/>
        <v>-2.813986831265311E-3</v>
      </c>
      <c r="J630" s="3">
        <f t="shared" si="29"/>
        <v>5.2021871872835815E-3</v>
      </c>
      <c r="K630" s="3">
        <f t="shared" si="29"/>
        <v>6.6740825614200689E-4</v>
      </c>
      <c r="L630" s="3">
        <f t="shared" si="29"/>
        <v>2.3789406146311653E-2</v>
      </c>
      <c r="M630" s="3">
        <f t="shared" si="30"/>
        <v>4.749192660462094E-3</v>
      </c>
      <c r="N630" s="3">
        <f t="shared" si="30"/>
        <v>6.7195880716203853E-3</v>
      </c>
    </row>
    <row r="631" spans="1:14" x14ac:dyDescent="0.3">
      <c r="A631" s="2">
        <v>45117</v>
      </c>
      <c r="B631" s="3">
        <v>188.61</v>
      </c>
      <c r="C631" s="3">
        <v>42.18</v>
      </c>
      <c r="D631" s="3">
        <v>269.61</v>
      </c>
      <c r="E631" s="3">
        <v>33.229999999999997</v>
      </c>
      <c r="F631" s="3">
        <v>33.61</v>
      </c>
      <c r="G631" s="4">
        <v>4409.53</v>
      </c>
      <c r="I631" s="3">
        <f t="shared" si="29"/>
        <v>-1.0915239273545508E-2</v>
      </c>
      <c r="J631" s="3">
        <f t="shared" si="29"/>
        <v>-7.5579008797426218E-3</v>
      </c>
      <c r="K631" s="3">
        <f t="shared" si="29"/>
        <v>-1.7719748983374178E-2</v>
      </c>
      <c r="L631" s="3">
        <f t="shared" si="29"/>
        <v>3.6177308073478899E-3</v>
      </c>
      <c r="M631" s="3">
        <f t="shared" si="30"/>
        <v>9.2662447506161299E-3</v>
      </c>
      <c r="N631" s="3">
        <f t="shared" si="30"/>
        <v>2.4022317330228151E-3</v>
      </c>
    </row>
    <row r="632" spans="1:14" x14ac:dyDescent="0.3">
      <c r="A632" s="2">
        <v>45114</v>
      </c>
      <c r="B632" s="3">
        <v>190.68</v>
      </c>
      <c r="C632" s="3">
        <v>42.5</v>
      </c>
      <c r="D632" s="3">
        <v>274.43</v>
      </c>
      <c r="E632" s="3">
        <v>33.11</v>
      </c>
      <c r="F632" s="3">
        <v>33.299999999999997</v>
      </c>
      <c r="G632" s="4">
        <v>4398.95</v>
      </c>
      <c r="I632" s="3">
        <f t="shared" si="29"/>
        <v>-5.9086683969717616E-3</v>
      </c>
      <c r="J632" s="3">
        <f t="shared" si="29"/>
        <v>9.4563352420354435E-3</v>
      </c>
      <c r="K632" s="3">
        <f t="shared" si="29"/>
        <v>-7.6592566387059325E-3</v>
      </c>
      <c r="L632" s="3">
        <f t="shared" si="29"/>
        <v>4.6678230966288509E-2</v>
      </c>
      <c r="M632" s="3">
        <f t="shared" si="30"/>
        <v>-4.7932985722798464E-3</v>
      </c>
      <c r="N632" s="3">
        <f t="shared" si="30"/>
        <v>-2.8692926136023467E-3</v>
      </c>
    </row>
    <row r="633" spans="1:14" x14ac:dyDescent="0.3">
      <c r="A633" s="2">
        <v>45113</v>
      </c>
      <c r="B633" s="3">
        <v>191.81</v>
      </c>
      <c r="C633" s="3">
        <v>42.1</v>
      </c>
      <c r="D633" s="3">
        <v>276.54000000000002</v>
      </c>
      <c r="E633" s="3">
        <v>31.6</v>
      </c>
      <c r="F633" s="3">
        <v>33.46</v>
      </c>
      <c r="G633" s="4">
        <v>4411.59</v>
      </c>
      <c r="I633" s="3">
        <f t="shared" si="29"/>
        <v>2.5056128366851334E-3</v>
      </c>
      <c r="J633" s="3">
        <f t="shared" si="29"/>
        <v>-5.2120468617082027E-3</v>
      </c>
      <c r="K633" s="3">
        <f t="shared" si="29"/>
        <v>-2.1252275659659092E-2</v>
      </c>
      <c r="L633" s="3">
        <f t="shared" si="29"/>
        <v>1.9005390579741393E-3</v>
      </c>
      <c r="M633" s="3">
        <f t="shared" si="30"/>
        <v>-1.2178971271002301E-2</v>
      </c>
      <c r="N633" s="3">
        <f t="shared" si="30"/>
        <v>-7.9540652874783013E-3</v>
      </c>
    </row>
    <row r="634" spans="1:14" x14ac:dyDescent="0.3">
      <c r="A634" s="2">
        <v>45112</v>
      </c>
      <c r="B634" s="3">
        <v>191.33</v>
      </c>
      <c r="C634" s="3">
        <v>42.32</v>
      </c>
      <c r="D634" s="3">
        <v>282.48</v>
      </c>
      <c r="E634" s="3">
        <v>31.54</v>
      </c>
      <c r="F634" s="3">
        <v>33.869999999999997</v>
      </c>
      <c r="G634" s="4">
        <v>4446.82</v>
      </c>
      <c r="I634" s="3">
        <f t="shared" si="29"/>
        <v>-5.8886540313434167E-3</v>
      </c>
      <c r="J634" s="3">
        <f t="shared" si="29"/>
        <v>-2.124395936455266E-3</v>
      </c>
      <c r="K634" s="3">
        <f t="shared" si="29"/>
        <v>9.4612123149912901E-3</v>
      </c>
      <c r="L634" s="3">
        <f t="shared" si="29"/>
        <v>-1.9005390579742256E-3</v>
      </c>
      <c r="M634" s="3">
        <f t="shared" si="30"/>
        <v>-1.378118863964929E-2</v>
      </c>
      <c r="N634" s="3">
        <f t="shared" si="30"/>
        <v>-1.9702536362673942E-3</v>
      </c>
    </row>
    <row r="635" spans="1:14" x14ac:dyDescent="0.3">
      <c r="A635" s="2">
        <v>45110</v>
      </c>
      <c r="B635" s="3">
        <v>192.46</v>
      </c>
      <c r="C635" s="3">
        <v>42.41</v>
      </c>
      <c r="D635" s="3">
        <v>279.82</v>
      </c>
      <c r="E635" s="3">
        <v>31.6</v>
      </c>
      <c r="F635" s="3">
        <v>34.340000000000003</v>
      </c>
      <c r="G635" s="4">
        <v>4455.59</v>
      </c>
      <c r="I635" s="3">
        <f t="shared" si="29"/>
        <v>-7.8151680019455765E-3</v>
      </c>
      <c r="J635" s="3">
        <f t="shared" si="29"/>
        <v>2.5970974342670078E-3</v>
      </c>
      <c r="K635" s="3">
        <f t="shared" si="29"/>
        <v>6.6680283686485764E-2</v>
      </c>
      <c r="L635" s="3">
        <f t="shared" si="29"/>
        <v>-3.1640563465992099E-4</v>
      </c>
      <c r="M635" s="3">
        <f t="shared" si="30"/>
        <v>7.0134711798584045E-3</v>
      </c>
      <c r="N635" s="3">
        <f t="shared" si="30"/>
        <v>1.1700018289601843E-3</v>
      </c>
    </row>
    <row r="636" spans="1:14" x14ac:dyDescent="0.3">
      <c r="A636" s="2">
        <v>45107</v>
      </c>
      <c r="B636" s="3">
        <v>193.97</v>
      </c>
      <c r="C636" s="3">
        <v>42.3</v>
      </c>
      <c r="D636" s="3">
        <v>261.77</v>
      </c>
      <c r="E636" s="3">
        <v>31.61</v>
      </c>
      <c r="F636" s="3">
        <v>34.1</v>
      </c>
      <c r="G636" s="4">
        <v>4450.38</v>
      </c>
      <c r="I636" s="3">
        <f t="shared" si="29"/>
        <v>2.2839662116253382E-2</v>
      </c>
      <c r="J636" s="3">
        <f t="shared" si="29"/>
        <v>3.5614928670533459E-2</v>
      </c>
      <c r="K636" s="3">
        <f t="shared" si="29"/>
        <v>1.6446535514863053E-2</v>
      </c>
      <c r="L636" s="3">
        <f t="shared" si="29"/>
        <v>7.9403307453192254E-3</v>
      </c>
      <c r="M636" s="3">
        <f t="shared" si="30"/>
        <v>6.7677174597909322E-3</v>
      </c>
      <c r="N636" s="3">
        <f t="shared" si="30"/>
        <v>1.2194363266362706E-2</v>
      </c>
    </row>
    <row r="637" spans="1:14" x14ac:dyDescent="0.3">
      <c r="A637" s="2">
        <v>45106</v>
      </c>
      <c r="B637" s="3">
        <v>189.59</v>
      </c>
      <c r="C637" s="3">
        <v>40.82</v>
      </c>
      <c r="D637" s="3">
        <v>257.5</v>
      </c>
      <c r="E637" s="3">
        <v>31.36</v>
      </c>
      <c r="F637" s="3">
        <v>33.869999999999997</v>
      </c>
      <c r="G637" s="4">
        <v>4396.4399999999996</v>
      </c>
      <c r="I637" s="3">
        <f t="shared" si="29"/>
        <v>1.794953496388748E-3</v>
      </c>
      <c r="J637" s="3">
        <f t="shared" si="29"/>
        <v>-7.3224637652109072E-3</v>
      </c>
      <c r="K637" s="3">
        <f t="shared" si="29"/>
        <v>4.905214802887998E-3</v>
      </c>
      <c r="L637" s="3">
        <f t="shared" si="29"/>
        <v>7.3612110286903698E-3</v>
      </c>
      <c r="M637" s="3">
        <f t="shared" si="30"/>
        <v>8.3012632054787518E-3</v>
      </c>
      <c r="N637" s="3">
        <f t="shared" si="30"/>
        <v>4.4635502053141703E-3</v>
      </c>
    </row>
    <row r="638" spans="1:14" x14ac:dyDescent="0.3">
      <c r="A638" s="2">
        <v>45105</v>
      </c>
      <c r="B638" s="3">
        <v>189.25</v>
      </c>
      <c r="C638" s="3">
        <v>41.12</v>
      </c>
      <c r="D638" s="3">
        <v>256.24</v>
      </c>
      <c r="E638" s="3">
        <v>31.13</v>
      </c>
      <c r="F638" s="3">
        <v>33.590000000000003</v>
      </c>
      <c r="G638" s="4">
        <v>4376.8599999999997</v>
      </c>
      <c r="I638" s="3">
        <f t="shared" si="29"/>
        <v>6.3078314686272193E-3</v>
      </c>
      <c r="J638" s="3">
        <f t="shared" si="29"/>
        <v>-1.8313764855426552E-2</v>
      </c>
      <c r="K638" s="3">
        <f t="shared" si="29"/>
        <v>2.3813940041212667E-2</v>
      </c>
      <c r="L638" s="3">
        <f t="shared" si="29"/>
        <v>5.1529904684052986E-3</v>
      </c>
      <c r="M638" s="3">
        <f t="shared" si="30"/>
        <v>3.5788884009663102E-3</v>
      </c>
      <c r="N638" s="3">
        <f t="shared" si="30"/>
        <v>-3.5407246519950932E-4</v>
      </c>
    </row>
    <row r="639" spans="1:14" x14ac:dyDescent="0.3">
      <c r="A639" s="2">
        <v>45104</v>
      </c>
      <c r="B639" s="3">
        <v>188.06</v>
      </c>
      <c r="C639" s="3">
        <v>41.88</v>
      </c>
      <c r="D639" s="3">
        <v>250.21</v>
      </c>
      <c r="E639" s="3">
        <v>30.97</v>
      </c>
      <c r="F639" s="3">
        <v>33.47</v>
      </c>
      <c r="G639" s="4">
        <v>4378.41</v>
      </c>
      <c r="I639" s="3">
        <f t="shared" si="29"/>
        <v>1.4946840287009402E-2</v>
      </c>
      <c r="J639" s="3">
        <f t="shared" si="29"/>
        <v>3.0301676002700687E-2</v>
      </c>
      <c r="K639" s="3">
        <f t="shared" si="29"/>
        <v>3.7296184408058833E-2</v>
      </c>
      <c r="L639" s="3">
        <f t="shared" si="29"/>
        <v>1.4309187238324823E-2</v>
      </c>
      <c r="M639" s="3">
        <f t="shared" si="30"/>
        <v>1.0814163664080428E-2</v>
      </c>
      <c r="N639" s="3">
        <f t="shared" si="30"/>
        <v>1.1390657230512101E-2</v>
      </c>
    </row>
    <row r="640" spans="1:14" x14ac:dyDescent="0.3">
      <c r="A640" s="2">
        <v>45103</v>
      </c>
      <c r="B640" s="3">
        <v>185.27</v>
      </c>
      <c r="C640" s="3">
        <v>40.630000000000003</v>
      </c>
      <c r="D640" s="3">
        <v>241.05</v>
      </c>
      <c r="E640" s="3">
        <v>30.53</v>
      </c>
      <c r="F640" s="3">
        <v>33.11</v>
      </c>
      <c r="G640" s="4">
        <v>4328.82</v>
      </c>
      <c r="I640" s="3">
        <f t="shared" si="29"/>
        <v>-7.5817005196935298E-3</v>
      </c>
      <c r="J640" s="3">
        <f t="shared" si="29"/>
        <v>-3.8150449794771953E-2</v>
      </c>
      <c r="K640" s="3">
        <f t="shared" si="29"/>
        <v>-6.2514071329904816E-2</v>
      </c>
      <c r="L640" s="3">
        <f t="shared" si="29"/>
        <v>2.52086317191016E-2</v>
      </c>
      <c r="M640" s="3">
        <f t="shared" si="30"/>
        <v>1.123777961616592E-2</v>
      </c>
      <c r="N640" s="3">
        <f t="shared" si="30"/>
        <v>-4.4968757892660969E-3</v>
      </c>
    </row>
    <row r="641" spans="1:14" x14ac:dyDescent="0.3">
      <c r="A641" s="2">
        <v>45100</v>
      </c>
      <c r="B641" s="3">
        <v>186.68</v>
      </c>
      <c r="C641" s="3">
        <v>42.21</v>
      </c>
      <c r="D641" s="3">
        <v>256.60000000000002</v>
      </c>
      <c r="E641" s="3">
        <v>29.77</v>
      </c>
      <c r="F641" s="3">
        <v>32.74</v>
      </c>
      <c r="G641" s="4">
        <v>4348.33</v>
      </c>
      <c r="I641" s="3">
        <f t="shared" si="29"/>
        <v>-1.7126957729717623E-3</v>
      </c>
      <c r="J641" s="3">
        <f t="shared" si="29"/>
        <v>-1.9240387056100903E-2</v>
      </c>
      <c r="K641" s="3">
        <f t="shared" si="29"/>
        <v>-3.0738591680121472E-2</v>
      </c>
      <c r="L641" s="3">
        <f t="shared" si="29"/>
        <v>-1.2683748145509353E-2</v>
      </c>
      <c r="M641" s="3">
        <f t="shared" si="30"/>
        <v>-1.1237779616166012E-2</v>
      </c>
      <c r="N641" s="3">
        <f t="shared" si="30"/>
        <v>-7.688274822307147E-3</v>
      </c>
    </row>
    <row r="642" spans="1:14" x14ac:dyDescent="0.3">
      <c r="A642" s="2">
        <v>45099</v>
      </c>
      <c r="B642" s="3">
        <v>187</v>
      </c>
      <c r="C642" s="3">
        <v>43.03</v>
      </c>
      <c r="D642" s="3">
        <v>264.61</v>
      </c>
      <c r="E642" s="3">
        <v>30.15</v>
      </c>
      <c r="F642" s="3">
        <v>33.11</v>
      </c>
      <c r="G642" s="4">
        <v>4381.8900000000003</v>
      </c>
      <c r="I642" s="3">
        <f t="shared" si="29"/>
        <v>1.6390274182863554E-2</v>
      </c>
      <c r="J642" s="3">
        <f t="shared" si="29"/>
        <v>-2.3236900302070086E-4</v>
      </c>
      <c r="K642" s="3">
        <f t="shared" si="29"/>
        <v>1.9654495718791385E-2</v>
      </c>
      <c r="L642" s="3">
        <f t="shared" si="29"/>
        <v>-1.1213837826969013E-2</v>
      </c>
      <c r="M642" s="3">
        <f t="shared" si="30"/>
        <v>-6.0386475264969752E-4</v>
      </c>
      <c r="N642" s="3">
        <f t="shared" si="30"/>
        <v>3.7038857650539521E-3</v>
      </c>
    </row>
    <row r="643" spans="1:14" x14ac:dyDescent="0.3">
      <c r="A643" s="2">
        <v>45098</v>
      </c>
      <c r="B643" s="3">
        <v>183.96</v>
      </c>
      <c r="C643" s="3">
        <v>43.04</v>
      </c>
      <c r="D643" s="3">
        <v>259.45999999999998</v>
      </c>
      <c r="E643" s="3">
        <v>30.49</v>
      </c>
      <c r="F643" s="3">
        <v>33.130000000000003</v>
      </c>
      <c r="G643" s="4">
        <v>4365.6899999999996</v>
      </c>
      <c r="I643" s="3">
        <f t="shared" si="29"/>
        <v>-5.6915349997879849E-3</v>
      </c>
      <c r="J643" s="3">
        <f t="shared" si="29"/>
        <v>-1.7732185972278238E-2</v>
      </c>
      <c r="K643" s="3">
        <f t="shared" si="29"/>
        <v>-5.6166546853031872E-2</v>
      </c>
      <c r="L643" s="3">
        <f t="shared" ref="L643:N706" si="31">LN(E643/E644)</f>
        <v>2.2890367488804512E-2</v>
      </c>
      <c r="M643" s="3">
        <f t="shared" si="30"/>
        <v>6.6626533565561381E-3</v>
      </c>
      <c r="N643" s="3">
        <f t="shared" si="30"/>
        <v>-5.2590818461865788E-3</v>
      </c>
    </row>
    <row r="644" spans="1:14" x14ac:dyDescent="0.3">
      <c r="A644" s="2">
        <v>45097</v>
      </c>
      <c r="B644" s="3">
        <v>185.01</v>
      </c>
      <c r="C644" s="3">
        <v>43.81</v>
      </c>
      <c r="D644" s="3">
        <v>274.45</v>
      </c>
      <c r="E644" s="3">
        <v>29.8</v>
      </c>
      <c r="F644" s="3">
        <v>32.909999999999997</v>
      </c>
      <c r="G644" s="4">
        <v>4388.71</v>
      </c>
      <c r="I644" s="3">
        <f t="shared" ref="I644:N707" si="32">LN(B644/B645)</f>
        <v>4.8657855148655894E-4</v>
      </c>
      <c r="J644" s="3">
        <f t="shared" si="32"/>
        <v>2.5897401055936565E-2</v>
      </c>
      <c r="K644" s="3">
        <f t="shared" si="32"/>
        <v>5.2012694726479999E-2</v>
      </c>
      <c r="L644" s="3">
        <f t="shared" si="31"/>
        <v>-2.5510742391384365E-2</v>
      </c>
      <c r="M644" s="3">
        <f t="shared" si="31"/>
        <v>-9.0744724334067186E-3</v>
      </c>
      <c r="N644" s="3">
        <f t="shared" si="31"/>
        <v>-4.7463803686906532E-3</v>
      </c>
    </row>
    <row r="645" spans="1:14" x14ac:dyDescent="0.3">
      <c r="A645" s="2">
        <v>45093</v>
      </c>
      <c r="B645" s="3">
        <v>184.92</v>
      </c>
      <c r="C645" s="3">
        <v>42.69</v>
      </c>
      <c r="D645" s="3">
        <v>260.54000000000002</v>
      </c>
      <c r="E645" s="3">
        <v>30.57</v>
      </c>
      <c r="F645" s="3">
        <v>33.21</v>
      </c>
      <c r="G645" s="4">
        <v>4409.59</v>
      </c>
      <c r="I645" s="3">
        <f t="shared" si="32"/>
        <v>-5.8771365888347889E-3</v>
      </c>
      <c r="J645" s="3">
        <f t="shared" si="32"/>
        <v>9.3742683218248925E-4</v>
      </c>
      <c r="K645" s="3">
        <f t="shared" si="32"/>
        <v>1.7969657103674836E-2</v>
      </c>
      <c r="L645" s="3">
        <f t="shared" si="31"/>
        <v>1.085358459141085E-2</v>
      </c>
      <c r="M645" s="3">
        <f t="shared" si="31"/>
        <v>-1.0483846210350303E-2</v>
      </c>
      <c r="N645" s="3">
        <f t="shared" si="31"/>
        <v>-3.6783763376504303E-3</v>
      </c>
    </row>
    <row r="646" spans="1:14" x14ac:dyDescent="0.3">
      <c r="A646" s="2">
        <v>45092</v>
      </c>
      <c r="B646" s="3">
        <v>186.01</v>
      </c>
      <c r="C646" s="3">
        <v>42.65</v>
      </c>
      <c r="D646" s="3">
        <v>255.9</v>
      </c>
      <c r="E646" s="3">
        <v>30.24</v>
      </c>
      <c r="F646" s="3">
        <v>33.56</v>
      </c>
      <c r="G646" s="4">
        <v>4425.84</v>
      </c>
      <c r="I646" s="3">
        <f t="shared" si="32"/>
        <v>1.1136454158076165E-2</v>
      </c>
      <c r="J646" s="3">
        <f t="shared" si="32"/>
        <v>-8.172841755874358E-3</v>
      </c>
      <c r="K646" s="3">
        <f t="shared" si="32"/>
        <v>-3.4718870818811779E-3</v>
      </c>
      <c r="L646" s="3">
        <f t="shared" si="31"/>
        <v>9.9701723198498508E-3</v>
      </c>
      <c r="M646" s="3">
        <f t="shared" si="31"/>
        <v>1.4103759665484671E-2</v>
      </c>
      <c r="N646" s="3">
        <f t="shared" si="31"/>
        <v>1.2104580063652602E-2</v>
      </c>
    </row>
    <row r="647" spans="1:14" x14ac:dyDescent="0.3">
      <c r="A647" s="2">
        <v>45091</v>
      </c>
      <c r="B647" s="3">
        <v>183.95</v>
      </c>
      <c r="C647" s="3">
        <v>43</v>
      </c>
      <c r="D647" s="3">
        <v>256.79000000000002</v>
      </c>
      <c r="E647" s="3">
        <v>29.94</v>
      </c>
      <c r="F647" s="3">
        <v>33.090000000000003</v>
      </c>
      <c r="G647" s="4">
        <v>4372.59</v>
      </c>
      <c r="I647" s="3">
        <f t="shared" si="32"/>
        <v>3.4852728195099562E-3</v>
      </c>
      <c r="J647" s="3">
        <f t="shared" si="32"/>
        <v>4.7140363049327894E-2</v>
      </c>
      <c r="K647" s="3">
        <f t="shared" si="32"/>
        <v>-7.4491130098051734E-3</v>
      </c>
      <c r="L647" s="3">
        <f t="shared" si="31"/>
        <v>-7.6526741794874327E-3</v>
      </c>
      <c r="M647" s="3">
        <f t="shared" si="31"/>
        <v>1.3080034391201867E-2</v>
      </c>
      <c r="N647" s="3">
        <f t="shared" si="31"/>
        <v>8.1907206921961594E-4</v>
      </c>
    </row>
    <row r="648" spans="1:14" x14ac:dyDescent="0.3">
      <c r="A648" s="2">
        <v>45090</v>
      </c>
      <c r="B648" s="3">
        <v>183.31</v>
      </c>
      <c r="C648" s="3">
        <v>41.02</v>
      </c>
      <c r="D648" s="3">
        <v>258.70999999999998</v>
      </c>
      <c r="E648" s="3">
        <v>30.17</v>
      </c>
      <c r="F648" s="3">
        <v>32.659999999999997</v>
      </c>
      <c r="G648" s="4">
        <v>4369.01</v>
      </c>
      <c r="I648" s="3">
        <f t="shared" si="32"/>
        <v>-2.615092746109284E-3</v>
      </c>
      <c r="J648" s="3">
        <f t="shared" si="32"/>
        <v>3.8265538078953824E-2</v>
      </c>
      <c r="K648" s="3">
        <f t="shared" si="32"/>
        <v>3.4927056700047136E-2</v>
      </c>
      <c r="L648" s="3">
        <f t="shared" si="31"/>
        <v>1.2675286445778948E-2</v>
      </c>
      <c r="M648" s="3">
        <f t="shared" si="31"/>
        <v>7.9926647440353004E-3</v>
      </c>
      <c r="N648" s="3">
        <f t="shared" si="31"/>
        <v>6.9086648833658285E-3</v>
      </c>
    </row>
    <row r="649" spans="1:14" x14ac:dyDescent="0.3">
      <c r="A649" s="2">
        <v>45089</v>
      </c>
      <c r="B649" s="3">
        <v>183.79</v>
      </c>
      <c r="C649" s="3">
        <v>39.479999999999997</v>
      </c>
      <c r="D649" s="3">
        <v>249.83</v>
      </c>
      <c r="E649" s="3">
        <v>29.79</v>
      </c>
      <c r="F649" s="3">
        <v>32.4</v>
      </c>
      <c r="G649" s="4">
        <v>4338.93</v>
      </c>
      <c r="I649" s="3">
        <f t="shared" si="32"/>
        <v>1.5517789109572321E-2</v>
      </c>
      <c r="J649" s="3">
        <f t="shared" si="32"/>
        <v>1.8147462882442924E-2</v>
      </c>
      <c r="K649" s="3">
        <f t="shared" si="32"/>
        <v>2.1974459259941983E-2</v>
      </c>
      <c r="L649" s="3">
        <f t="shared" si="31"/>
        <v>-7.3578927270849621E-3</v>
      </c>
      <c r="M649" s="3">
        <f t="shared" si="31"/>
        <v>2.7816429618767705E-3</v>
      </c>
      <c r="N649" s="3">
        <f t="shared" si="31"/>
        <v>9.2779026656844323E-3</v>
      </c>
    </row>
    <row r="650" spans="1:14" x14ac:dyDescent="0.3">
      <c r="A650" s="2">
        <v>45086</v>
      </c>
      <c r="B650" s="3">
        <v>180.96</v>
      </c>
      <c r="C650" s="3">
        <v>38.770000000000003</v>
      </c>
      <c r="D650" s="3">
        <v>244.4</v>
      </c>
      <c r="E650" s="3">
        <v>30.01</v>
      </c>
      <c r="F650" s="3">
        <v>32.31</v>
      </c>
      <c r="G650" s="4">
        <v>4298.8599999999997</v>
      </c>
      <c r="I650" s="3">
        <f t="shared" si="32"/>
        <v>2.1574981400213143E-3</v>
      </c>
      <c r="J650" s="3">
        <f t="shared" si="32"/>
        <v>6.7288038560202766E-3</v>
      </c>
      <c r="K650" s="3">
        <f t="shared" si="32"/>
        <v>3.981663536050517E-2</v>
      </c>
      <c r="L650" s="3">
        <f t="shared" si="31"/>
        <v>-9.2869655868701422E-3</v>
      </c>
      <c r="M650" s="3">
        <f t="shared" si="31"/>
        <v>-7.7077612979326478E-3</v>
      </c>
      <c r="N650" s="3">
        <f t="shared" si="31"/>
        <v>1.1474737636884458E-3</v>
      </c>
    </row>
    <row r="651" spans="1:14" x14ac:dyDescent="0.3">
      <c r="A651" s="2">
        <v>45085</v>
      </c>
      <c r="B651" s="3">
        <v>180.57</v>
      </c>
      <c r="C651" s="3">
        <v>38.51</v>
      </c>
      <c r="D651" s="3">
        <v>234.86</v>
      </c>
      <c r="E651" s="3">
        <v>30.29</v>
      </c>
      <c r="F651" s="3">
        <v>32.56</v>
      </c>
      <c r="G651" s="4">
        <v>4293.93</v>
      </c>
      <c r="I651" s="3">
        <f t="shared" si="32"/>
        <v>1.5346711534796179E-2</v>
      </c>
      <c r="J651" s="3">
        <f t="shared" si="32"/>
        <v>2.7377335021221472E-2</v>
      </c>
      <c r="K651" s="3">
        <f t="shared" si="32"/>
        <v>4.4802129346485114E-2</v>
      </c>
      <c r="L651" s="3">
        <f t="shared" si="31"/>
        <v>-1.148871983324466E-2</v>
      </c>
      <c r="M651" s="3">
        <f t="shared" si="31"/>
        <v>-6.1406203955940975E-4</v>
      </c>
      <c r="N651" s="3">
        <f t="shared" si="31"/>
        <v>6.16953524709693E-3</v>
      </c>
    </row>
    <row r="652" spans="1:14" x14ac:dyDescent="0.3">
      <c r="A652" s="2">
        <v>45084</v>
      </c>
      <c r="B652" s="3">
        <v>177.82</v>
      </c>
      <c r="C652" s="3">
        <v>37.47</v>
      </c>
      <c r="D652" s="3">
        <v>224.57</v>
      </c>
      <c r="E652" s="3">
        <v>30.64</v>
      </c>
      <c r="F652" s="3">
        <v>32.58</v>
      </c>
      <c r="G652" s="4">
        <v>4267.5200000000004</v>
      </c>
      <c r="I652" s="3">
        <f t="shared" si="32"/>
        <v>-7.7864998623044576E-3</v>
      </c>
      <c r="J652" s="3">
        <f t="shared" si="32"/>
        <v>-3.1006162227835001E-2</v>
      </c>
      <c r="K652" s="3">
        <f t="shared" si="32"/>
        <v>1.4623029026129395E-2</v>
      </c>
      <c r="L652" s="3">
        <f t="shared" si="31"/>
        <v>1.6331867095783778E-3</v>
      </c>
      <c r="M652" s="3">
        <f t="shared" si="31"/>
        <v>1.9839460387032534E-2</v>
      </c>
      <c r="N652" s="3">
        <f t="shared" si="31"/>
        <v>-3.8192757067673886E-3</v>
      </c>
    </row>
    <row r="653" spans="1:14" x14ac:dyDescent="0.3">
      <c r="A653" s="2">
        <v>45083</v>
      </c>
      <c r="B653" s="3">
        <v>179.21</v>
      </c>
      <c r="C653" s="3">
        <v>38.65</v>
      </c>
      <c r="D653" s="3">
        <v>221.31</v>
      </c>
      <c r="E653" s="3">
        <v>30.59</v>
      </c>
      <c r="F653" s="3">
        <v>31.94</v>
      </c>
      <c r="G653" s="4">
        <v>4283.8500000000004</v>
      </c>
      <c r="I653" s="3">
        <f t="shared" si="32"/>
        <v>-2.0624885373653236E-3</v>
      </c>
      <c r="J653" s="3">
        <f t="shared" si="32"/>
        <v>-1.336437264430901E-2</v>
      </c>
      <c r="K653" s="3">
        <f t="shared" si="32"/>
        <v>1.685996375611918E-2</v>
      </c>
      <c r="L653" s="3">
        <f t="shared" si="31"/>
        <v>3.0536723860081487E-2</v>
      </c>
      <c r="M653" s="3">
        <f t="shared" si="31"/>
        <v>-5.9310303409007325E-3</v>
      </c>
      <c r="N653" s="3">
        <f t="shared" si="31"/>
        <v>2.3511165774900327E-3</v>
      </c>
    </row>
    <row r="654" spans="1:14" x14ac:dyDescent="0.3">
      <c r="A654" s="2">
        <v>45082</v>
      </c>
      <c r="B654" s="3">
        <v>179.58</v>
      </c>
      <c r="C654" s="3">
        <v>39.17</v>
      </c>
      <c r="D654" s="3">
        <v>217.61</v>
      </c>
      <c r="E654" s="3">
        <v>29.67</v>
      </c>
      <c r="F654" s="3">
        <v>32.130000000000003</v>
      </c>
      <c r="G654" s="4">
        <v>4273.79</v>
      </c>
      <c r="I654" s="3">
        <f t="shared" si="32"/>
        <v>-7.5999589170887821E-3</v>
      </c>
      <c r="J654" s="3">
        <f t="shared" si="32"/>
        <v>-4.0764387659781411E-3</v>
      </c>
      <c r="K654" s="3">
        <f t="shared" si="32"/>
        <v>1.6868651529341906E-2</v>
      </c>
      <c r="L654" s="3">
        <f t="shared" si="31"/>
        <v>3.0379770200768012E-3</v>
      </c>
      <c r="M654" s="3">
        <f t="shared" si="31"/>
        <v>6.5574005461590396E-3</v>
      </c>
      <c r="N654" s="3">
        <f t="shared" si="31"/>
        <v>-2.0055732655681105E-3</v>
      </c>
    </row>
    <row r="655" spans="1:14" x14ac:dyDescent="0.3">
      <c r="A655" s="2">
        <v>45079</v>
      </c>
      <c r="B655" s="3">
        <v>180.95</v>
      </c>
      <c r="C655" s="3">
        <v>39.33</v>
      </c>
      <c r="D655" s="3">
        <v>213.97</v>
      </c>
      <c r="E655" s="3">
        <v>29.58</v>
      </c>
      <c r="F655" s="3">
        <v>31.92</v>
      </c>
      <c r="G655" s="4">
        <v>4282.37</v>
      </c>
      <c r="I655" s="3">
        <f t="shared" si="32"/>
        <v>4.764024077889918E-3</v>
      </c>
      <c r="J655" s="3">
        <f t="shared" si="32"/>
        <v>-1.1125272775881186E-2</v>
      </c>
      <c r="K655" s="3">
        <f t="shared" si="32"/>
        <v>3.0608097710725753E-2</v>
      </c>
      <c r="L655" s="3">
        <f t="shared" si="31"/>
        <v>3.3342150220634852E-2</v>
      </c>
      <c r="M655" s="3">
        <f t="shared" si="31"/>
        <v>1.706202527672155E-2</v>
      </c>
      <c r="N655" s="3">
        <f t="shared" si="31"/>
        <v>1.442978965214366E-2</v>
      </c>
    </row>
    <row r="656" spans="1:14" x14ac:dyDescent="0.3">
      <c r="A656" s="2">
        <v>45078</v>
      </c>
      <c r="B656" s="3">
        <v>180.09</v>
      </c>
      <c r="C656" s="3">
        <v>39.770000000000003</v>
      </c>
      <c r="D656" s="3">
        <v>207.52</v>
      </c>
      <c r="E656" s="3">
        <v>28.61</v>
      </c>
      <c r="F656" s="3">
        <v>31.38</v>
      </c>
      <c r="G656" s="4">
        <v>4221.0200000000004</v>
      </c>
      <c r="I656" s="3">
        <f t="shared" si="32"/>
        <v>1.5895560519624617E-2</v>
      </c>
      <c r="J656" s="3">
        <f t="shared" si="32"/>
        <v>5.0010420574661416E-2</v>
      </c>
      <c r="K656" s="3">
        <f t="shared" si="32"/>
        <v>1.7450922863877952E-2</v>
      </c>
      <c r="L656" s="3">
        <f t="shared" si="31"/>
        <v>4.8702785952765726E-2</v>
      </c>
      <c r="M656" s="3">
        <f t="shared" si="31"/>
        <v>2.2885769178726353E-2</v>
      </c>
      <c r="N656" s="3">
        <f t="shared" si="31"/>
        <v>9.806229149665344E-3</v>
      </c>
    </row>
    <row r="657" spans="1:14" x14ac:dyDescent="0.3">
      <c r="A657" s="2">
        <v>45077</v>
      </c>
      <c r="B657" s="3">
        <v>177.25</v>
      </c>
      <c r="C657" s="3">
        <v>37.83</v>
      </c>
      <c r="D657" s="3">
        <v>203.93</v>
      </c>
      <c r="E657" s="3">
        <v>27.25</v>
      </c>
      <c r="F657" s="3">
        <v>30.67</v>
      </c>
      <c r="G657" s="4">
        <v>4179.83</v>
      </c>
      <c r="I657" s="3">
        <f t="shared" si="32"/>
        <v>-2.820476679253569E-4</v>
      </c>
      <c r="J657" s="3">
        <f t="shared" si="32"/>
        <v>-5.8523241137023653E-2</v>
      </c>
      <c r="K657" s="3">
        <f t="shared" si="32"/>
        <v>1.367618640049169E-2</v>
      </c>
      <c r="L657" s="3">
        <f t="shared" si="31"/>
        <v>-1.998249958733829E-2</v>
      </c>
      <c r="M657" s="3">
        <f t="shared" si="31"/>
        <v>-9.7340158589511155E-3</v>
      </c>
      <c r="N657" s="3">
        <f t="shared" si="31"/>
        <v>-6.1273722329718457E-3</v>
      </c>
    </row>
    <row r="658" spans="1:14" x14ac:dyDescent="0.3">
      <c r="A658" s="2">
        <v>45076</v>
      </c>
      <c r="B658" s="3">
        <v>177.3</v>
      </c>
      <c r="C658" s="3">
        <v>40.11</v>
      </c>
      <c r="D658" s="3">
        <v>201.16</v>
      </c>
      <c r="E658" s="3">
        <v>27.8</v>
      </c>
      <c r="F658" s="3">
        <v>30.97</v>
      </c>
      <c r="G658" s="4">
        <v>4205.5200000000004</v>
      </c>
      <c r="I658" s="3">
        <f t="shared" si="32"/>
        <v>1.0603110139068832E-2</v>
      </c>
      <c r="J658" s="3">
        <f t="shared" si="32"/>
        <v>2.93469074652042E-2</v>
      </c>
      <c r="K658" s="3">
        <f t="shared" si="32"/>
        <v>4.0529981085562244E-2</v>
      </c>
      <c r="L658" s="3">
        <f t="shared" si="31"/>
        <v>-3.2321809428062227E-3</v>
      </c>
      <c r="M658" s="3">
        <f t="shared" si="31"/>
        <v>5.1796813765348096E-3</v>
      </c>
      <c r="N658" s="3">
        <f t="shared" si="31"/>
        <v>1.6644929182328236E-5</v>
      </c>
    </row>
    <row r="659" spans="1:14" x14ac:dyDescent="0.3">
      <c r="A659" s="2">
        <v>45072</v>
      </c>
      <c r="B659" s="3">
        <v>175.43</v>
      </c>
      <c r="C659" s="3">
        <v>38.950000000000003</v>
      </c>
      <c r="D659" s="3">
        <v>193.17</v>
      </c>
      <c r="E659" s="3">
        <v>27.89</v>
      </c>
      <c r="F659" s="3">
        <v>30.81</v>
      </c>
      <c r="G659" s="4">
        <v>4205.45</v>
      </c>
      <c r="I659" s="3">
        <f t="shared" si="32"/>
        <v>1.4006313582207318E-2</v>
      </c>
      <c r="J659" s="3">
        <f t="shared" si="32"/>
        <v>2.5219066932617568E-2</v>
      </c>
      <c r="K659" s="3">
        <f t="shared" si="32"/>
        <v>4.6083781584713691E-2</v>
      </c>
      <c r="L659" s="3">
        <f t="shared" si="31"/>
        <v>-3.9363085358063024E-3</v>
      </c>
      <c r="M659" s="3">
        <f t="shared" si="31"/>
        <v>-3.5639111106447064E-3</v>
      </c>
      <c r="N659" s="3">
        <f t="shared" si="31"/>
        <v>1.296458273531355E-2</v>
      </c>
    </row>
    <row r="660" spans="1:14" x14ac:dyDescent="0.3">
      <c r="A660" s="2">
        <v>45071</v>
      </c>
      <c r="B660" s="3">
        <v>172.99</v>
      </c>
      <c r="C660" s="3">
        <v>37.979999999999997</v>
      </c>
      <c r="D660" s="3">
        <v>184.47</v>
      </c>
      <c r="E660" s="3">
        <v>28</v>
      </c>
      <c r="F660" s="3">
        <v>30.92</v>
      </c>
      <c r="G660" s="4">
        <v>4151.28</v>
      </c>
      <c r="I660" s="3">
        <f t="shared" si="32"/>
        <v>6.6699780383861051E-3</v>
      </c>
      <c r="J660" s="3">
        <f t="shared" si="32"/>
        <v>0.21802240559365338</v>
      </c>
      <c r="K660" s="3">
        <f t="shared" si="32"/>
        <v>8.5472932366680611E-3</v>
      </c>
      <c r="L660" s="3">
        <f t="shared" si="31"/>
        <v>-2.5389234004819464E-2</v>
      </c>
      <c r="M660" s="3">
        <f t="shared" si="31"/>
        <v>9.7071678873096091E-4</v>
      </c>
      <c r="N660" s="3">
        <f t="shared" si="31"/>
        <v>8.719564785563249E-3</v>
      </c>
    </row>
    <row r="661" spans="1:14" x14ac:dyDescent="0.3">
      <c r="A661" s="2">
        <v>45070</v>
      </c>
      <c r="B661" s="3">
        <v>171.84</v>
      </c>
      <c r="C661" s="3">
        <v>30.54</v>
      </c>
      <c r="D661" s="3">
        <v>182.9</v>
      </c>
      <c r="E661" s="3">
        <v>28.72</v>
      </c>
      <c r="F661" s="3">
        <v>30.89</v>
      </c>
      <c r="G661" s="4">
        <v>4115.24</v>
      </c>
      <c r="I661" s="3">
        <f t="shared" si="32"/>
        <v>1.6307516718202389E-3</v>
      </c>
      <c r="J661" s="3">
        <f t="shared" si="32"/>
        <v>-4.899568841158536E-3</v>
      </c>
      <c r="K661" s="3">
        <f t="shared" si="32"/>
        <v>-1.5569794006492834E-2</v>
      </c>
      <c r="L661" s="3">
        <f t="shared" si="31"/>
        <v>1.1204599012863062E-2</v>
      </c>
      <c r="M661" s="3">
        <f t="shared" si="31"/>
        <v>-2.3041019297035999E-2</v>
      </c>
      <c r="N661" s="3">
        <f t="shared" si="31"/>
        <v>-7.3455507858671458E-3</v>
      </c>
    </row>
    <row r="662" spans="1:14" x14ac:dyDescent="0.3">
      <c r="A662" s="2">
        <v>45069</v>
      </c>
      <c r="B662" s="3">
        <v>171.56</v>
      </c>
      <c r="C662" s="3">
        <v>30.69</v>
      </c>
      <c r="D662" s="3">
        <v>185.77</v>
      </c>
      <c r="E662" s="3">
        <v>28.4</v>
      </c>
      <c r="F662" s="3">
        <v>31.61</v>
      </c>
      <c r="G662" s="4">
        <v>4145.58</v>
      </c>
      <c r="I662" s="3">
        <f t="shared" si="32"/>
        <v>-1.5271004769722592E-2</v>
      </c>
      <c r="J662" s="3">
        <f t="shared" si="32"/>
        <v>-1.5839994997985635E-2</v>
      </c>
      <c r="K662" s="3">
        <f t="shared" si="32"/>
        <v>-1.6549598304441932E-2</v>
      </c>
      <c r="L662" s="3">
        <f t="shared" si="31"/>
        <v>1.0568963464002538E-3</v>
      </c>
      <c r="M662" s="3">
        <f t="shared" si="31"/>
        <v>-9.1324835632724741E-3</v>
      </c>
      <c r="N662" s="3">
        <f t="shared" si="31"/>
        <v>-1.1285515564489972E-2</v>
      </c>
    </row>
    <row r="663" spans="1:14" x14ac:dyDescent="0.3">
      <c r="A663" s="2">
        <v>45068</v>
      </c>
      <c r="B663" s="3">
        <v>174.2</v>
      </c>
      <c r="C663" s="3">
        <v>31.18</v>
      </c>
      <c r="D663" s="3">
        <v>188.87</v>
      </c>
      <c r="E663" s="3">
        <v>28.37</v>
      </c>
      <c r="F663" s="3">
        <v>31.9</v>
      </c>
      <c r="G663" s="4">
        <v>4192.63</v>
      </c>
      <c r="I663" s="3">
        <f t="shared" si="32"/>
        <v>-5.4957775147952293E-3</v>
      </c>
      <c r="J663" s="3">
        <f t="shared" si="32"/>
        <v>-2.5624613637001614E-3</v>
      </c>
      <c r="K663" s="3">
        <f t="shared" si="32"/>
        <v>4.7324621352157939E-2</v>
      </c>
      <c r="L663" s="3">
        <f t="shared" si="31"/>
        <v>7.0746669324787915E-3</v>
      </c>
      <c r="M663" s="3">
        <f t="shared" si="31"/>
        <v>-1.2770770045608169E-2</v>
      </c>
      <c r="N663" s="3">
        <f t="shared" si="31"/>
        <v>1.550459714410593E-4</v>
      </c>
    </row>
    <row r="664" spans="1:14" x14ac:dyDescent="0.3">
      <c r="A664" s="2">
        <v>45065</v>
      </c>
      <c r="B664" s="3">
        <v>175.16</v>
      </c>
      <c r="C664" s="3">
        <v>31.26</v>
      </c>
      <c r="D664" s="3">
        <v>180.14</v>
      </c>
      <c r="E664" s="3">
        <v>28.17</v>
      </c>
      <c r="F664" s="3">
        <v>32.31</v>
      </c>
      <c r="G664" s="4">
        <v>4191.9799999999996</v>
      </c>
      <c r="I664" s="3">
        <f t="shared" si="32"/>
        <v>6.2819453252280992E-4</v>
      </c>
      <c r="J664" s="3">
        <f t="shared" si="32"/>
        <v>-1.3346241952894487E-2</v>
      </c>
      <c r="K664" s="3">
        <f t="shared" si="32"/>
        <v>1.8206255900180657E-2</v>
      </c>
      <c r="L664" s="3">
        <f t="shared" si="31"/>
        <v>-3.5492458225283151E-4</v>
      </c>
      <c r="M664" s="3">
        <f t="shared" si="31"/>
        <v>-2.4729533468309741E-3</v>
      </c>
      <c r="N664" s="3">
        <f t="shared" si="31"/>
        <v>-1.4469557460591439E-3</v>
      </c>
    </row>
    <row r="665" spans="1:14" x14ac:dyDescent="0.3">
      <c r="A665" s="2">
        <v>45064</v>
      </c>
      <c r="B665" s="3">
        <v>175.05</v>
      </c>
      <c r="C665" s="3">
        <v>31.68</v>
      </c>
      <c r="D665" s="3">
        <v>176.89</v>
      </c>
      <c r="E665" s="3">
        <v>28.18</v>
      </c>
      <c r="F665" s="3">
        <v>32.39</v>
      </c>
      <c r="G665" s="4">
        <v>4198.05</v>
      </c>
      <c r="I665" s="3">
        <f t="shared" si="32"/>
        <v>1.3573567804096048E-2</v>
      </c>
      <c r="J665" s="3">
        <f t="shared" si="32"/>
        <v>4.8506113606522343E-2</v>
      </c>
      <c r="K665" s="3">
        <f t="shared" si="32"/>
        <v>1.7277692804497764E-2</v>
      </c>
      <c r="L665" s="3">
        <f t="shared" si="31"/>
        <v>2.5154039116385498E-2</v>
      </c>
      <c r="M665" s="3">
        <f t="shared" si="31"/>
        <v>1.3677552359694053E-2</v>
      </c>
      <c r="N665" s="3">
        <f t="shared" si="31"/>
        <v>9.4007742847056677E-3</v>
      </c>
    </row>
    <row r="666" spans="1:14" x14ac:dyDescent="0.3">
      <c r="A666" s="2">
        <v>45063</v>
      </c>
      <c r="B666" s="3">
        <v>172.69</v>
      </c>
      <c r="C666" s="3">
        <v>30.18</v>
      </c>
      <c r="D666" s="3">
        <v>173.86</v>
      </c>
      <c r="E666" s="3">
        <v>27.48</v>
      </c>
      <c r="F666" s="3">
        <v>31.95</v>
      </c>
      <c r="G666" s="4">
        <v>4158.7700000000004</v>
      </c>
      <c r="I666" s="3">
        <f t="shared" si="32"/>
        <v>3.5967088315124198E-3</v>
      </c>
      <c r="J666" s="3">
        <f t="shared" si="32"/>
        <v>3.2668336940053222E-2</v>
      </c>
      <c r="K666" s="3">
        <f t="shared" si="32"/>
        <v>4.3134955324143527E-2</v>
      </c>
      <c r="L666" s="3">
        <f t="shared" si="31"/>
        <v>1.4566644964641641E-3</v>
      </c>
      <c r="M666" s="3">
        <f t="shared" si="31"/>
        <v>8.4866138773187251E-3</v>
      </c>
      <c r="N666" s="3">
        <f t="shared" si="31"/>
        <v>1.1820660164447881E-2</v>
      </c>
    </row>
    <row r="667" spans="1:14" x14ac:dyDescent="0.3">
      <c r="A667" s="2">
        <v>45062</v>
      </c>
      <c r="B667" s="3">
        <v>172.07</v>
      </c>
      <c r="C667" s="3">
        <v>29.21</v>
      </c>
      <c r="D667" s="3">
        <v>166.52</v>
      </c>
      <c r="E667" s="3">
        <v>27.44</v>
      </c>
      <c r="F667" s="3">
        <v>31.68</v>
      </c>
      <c r="G667" s="4">
        <v>4109.8999999999996</v>
      </c>
      <c r="I667" s="3">
        <f t="shared" si="32"/>
        <v>0</v>
      </c>
      <c r="J667" s="3">
        <f t="shared" si="32"/>
        <v>8.9409123806453196E-3</v>
      </c>
      <c r="K667" s="3">
        <f t="shared" si="32"/>
        <v>1.0214198622891175E-3</v>
      </c>
      <c r="L667" s="3">
        <f t="shared" si="31"/>
        <v>-1.6266398781713098E-2</v>
      </c>
      <c r="M667" s="3">
        <f t="shared" si="31"/>
        <v>-1.0362787035546547E-2</v>
      </c>
      <c r="N667" s="3">
        <f t="shared" si="31"/>
        <v>-6.398135861993161E-3</v>
      </c>
    </row>
    <row r="668" spans="1:14" x14ac:dyDescent="0.3">
      <c r="A668" s="2">
        <v>45061</v>
      </c>
      <c r="B668" s="3">
        <v>172.07</v>
      </c>
      <c r="C668" s="3">
        <v>28.95</v>
      </c>
      <c r="D668" s="3">
        <v>166.35</v>
      </c>
      <c r="E668" s="3">
        <v>27.89</v>
      </c>
      <c r="F668" s="3">
        <v>32.01</v>
      </c>
      <c r="G668" s="4">
        <v>4136.28</v>
      </c>
      <c r="I668" s="3">
        <f t="shared" si="32"/>
        <v>-2.9015804944212843E-3</v>
      </c>
      <c r="J668" s="3">
        <f t="shared" si="32"/>
        <v>2.1295969756469954E-2</v>
      </c>
      <c r="K668" s="3">
        <f t="shared" si="32"/>
        <v>-9.7509222329953404E-3</v>
      </c>
      <c r="L668" s="3">
        <f t="shared" si="31"/>
        <v>8.2808754027854335E-3</v>
      </c>
      <c r="M668" s="3">
        <f t="shared" si="31"/>
        <v>5.9533310721307121E-3</v>
      </c>
      <c r="N668" s="3">
        <f t="shared" si="31"/>
        <v>2.9538685652344835E-3</v>
      </c>
    </row>
    <row r="669" spans="1:14" x14ac:dyDescent="0.3">
      <c r="A669" s="2">
        <v>45058</v>
      </c>
      <c r="B669" s="3">
        <v>172.57</v>
      </c>
      <c r="C669" s="3">
        <v>28.34</v>
      </c>
      <c r="D669" s="3">
        <v>167.98</v>
      </c>
      <c r="E669" s="3">
        <v>27.66</v>
      </c>
      <c r="F669" s="3">
        <v>31.82</v>
      </c>
      <c r="G669" s="4">
        <v>4124.08</v>
      </c>
      <c r="I669" s="3">
        <f t="shared" si="32"/>
        <v>-6.8145331854140029E-3</v>
      </c>
      <c r="J669" s="3">
        <f t="shared" si="32"/>
        <v>-8.4329382391868796E-3</v>
      </c>
      <c r="K669" s="3">
        <f t="shared" si="32"/>
        <v>-2.4114560261993732E-2</v>
      </c>
      <c r="L669" s="3">
        <f t="shared" si="31"/>
        <v>1.0905233482262527E-2</v>
      </c>
      <c r="M669" s="3">
        <f t="shared" si="31"/>
        <v>9.4324798692956783E-4</v>
      </c>
      <c r="N669" s="3">
        <f t="shared" si="31"/>
        <v>-1.5845521626198357E-3</v>
      </c>
    </row>
    <row r="670" spans="1:14" x14ac:dyDescent="0.3">
      <c r="A670" s="2">
        <v>45057</v>
      </c>
      <c r="B670" s="3">
        <v>173.75</v>
      </c>
      <c r="C670" s="3">
        <v>28.58</v>
      </c>
      <c r="D670" s="3">
        <v>172.08</v>
      </c>
      <c r="E670" s="3">
        <v>27.36</v>
      </c>
      <c r="F670" s="3">
        <v>31.79</v>
      </c>
      <c r="G670" s="4">
        <v>4130.62</v>
      </c>
      <c r="I670" s="3">
        <f t="shared" si="32"/>
        <v>1.1517421371061069E-3</v>
      </c>
      <c r="J670" s="3">
        <f t="shared" si="32"/>
        <v>-1.0788341976422557E-2</v>
      </c>
      <c r="K670" s="3">
        <f t="shared" si="32"/>
        <v>2.0786374615267507E-2</v>
      </c>
      <c r="L670" s="3">
        <f t="shared" si="31"/>
        <v>-1.9186108885047893E-2</v>
      </c>
      <c r="M670" s="3">
        <f t="shared" si="31"/>
        <v>-6.2893083834141591E-4</v>
      </c>
      <c r="N670" s="3">
        <f t="shared" si="31"/>
        <v>-1.6980602174566785E-3</v>
      </c>
    </row>
    <row r="671" spans="1:14" x14ac:dyDescent="0.3">
      <c r="A671" s="2">
        <v>45056</v>
      </c>
      <c r="B671" s="3">
        <v>173.55</v>
      </c>
      <c r="C671" s="3">
        <v>28.89</v>
      </c>
      <c r="D671" s="3">
        <v>168.54</v>
      </c>
      <c r="E671" s="3">
        <v>27.89</v>
      </c>
      <c r="F671" s="3">
        <v>31.81</v>
      </c>
      <c r="G671" s="4">
        <v>4137.6400000000003</v>
      </c>
      <c r="I671" s="3">
        <f t="shared" si="32"/>
        <v>1.0309369658861287E-2</v>
      </c>
      <c r="J671" s="3">
        <f t="shared" si="32"/>
        <v>1.1138298235462181E-2</v>
      </c>
      <c r="K671" s="3">
        <f t="shared" si="32"/>
        <v>-3.6127848825103161E-3</v>
      </c>
      <c r="L671" s="3">
        <f t="shared" si="31"/>
        <v>-1.0699103486623568E-2</v>
      </c>
      <c r="M671" s="3">
        <f t="shared" si="31"/>
        <v>-6.5800018075160439E-3</v>
      </c>
      <c r="N671" s="3">
        <f t="shared" si="31"/>
        <v>4.4738902330266894E-3</v>
      </c>
    </row>
    <row r="672" spans="1:14" x14ac:dyDescent="0.3">
      <c r="A672" s="2">
        <v>45055</v>
      </c>
      <c r="B672" s="3">
        <v>171.77</v>
      </c>
      <c r="C672" s="3">
        <v>28.57</v>
      </c>
      <c r="D672" s="3">
        <v>169.15</v>
      </c>
      <c r="E672" s="3">
        <v>28.19</v>
      </c>
      <c r="F672" s="3">
        <v>32.020000000000003</v>
      </c>
      <c r="G672" s="4">
        <v>4119.17</v>
      </c>
      <c r="I672" s="3">
        <f t="shared" si="32"/>
        <v>-1.0021226737979814E-2</v>
      </c>
      <c r="J672" s="3">
        <f t="shared" si="32"/>
        <v>-2.0097696553819603E-2</v>
      </c>
      <c r="K672" s="3">
        <f t="shared" si="32"/>
        <v>-1.5486905411636588E-2</v>
      </c>
      <c r="L672" s="3">
        <f t="shared" si="31"/>
        <v>2.841920207580785E-3</v>
      </c>
      <c r="M672" s="3">
        <f t="shared" si="31"/>
        <v>4.3818536465545111E-3</v>
      </c>
      <c r="N672" s="3">
        <f t="shared" si="31"/>
        <v>-4.5898916638410408E-3</v>
      </c>
    </row>
    <row r="673" spans="1:14" x14ac:dyDescent="0.3">
      <c r="A673" s="2">
        <v>45054</v>
      </c>
      <c r="B673" s="3">
        <v>173.5</v>
      </c>
      <c r="C673" s="3">
        <v>29.15</v>
      </c>
      <c r="D673" s="3">
        <v>171.79</v>
      </c>
      <c r="E673" s="3">
        <v>28.11</v>
      </c>
      <c r="F673" s="3">
        <v>31.88</v>
      </c>
      <c r="G673" s="4">
        <v>4138.12</v>
      </c>
      <c r="I673" s="3">
        <f t="shared" si="32"/>
        <v>-4.0337684587633056E-4</v>
      </c>
      <c r="J673" s="3">
        <f t="shared" si="32"/>
        <v>1.625489706508175E-2</v>
      </c>
      <c r="K673" s="3">
        <f t="shared" si="32"/>
        <v>1.0121484680707614E-2</v>
      </c>
      <c r="L673" s="3">
        <f t="shared" si="31"/>
        <v>-3.9055615062274038E-3</v>
      </c>
      <c r="M673" s="3">
        <f t="shared" si="31"/>
        <v>6.2754944011183048E-4</v>
      </c>
      <c r="N673" s="3">
        <f t="shared" si="31"/>
        <v>4.5199816586328297E-4</v>
      </c>
    </row>
    <row r="674" spans="1:14" x14ac:dyDescent="0.3">
      <c r="A674" s="2">
        <v>45051</v>
      </c>
      <c r="B674" s="3">
        <v>173.57</v>
      </c>
      <c r="C674" s="3">
        <v>28.68</v>
      </c>
      <c r="D674" s="3">
        <v>170.06</v>
      </c>
      <c r="E674" s="3">
        <v>28.22</v>
      </c>
      <c r="F674" s="3">
        <v>31.86</v>
      </c>
      <c r="G674" s="4">
        <v>4136.25</v>
      </c>
      <c r="I674" s="3">
        <f t="shared" si="32"/>
        <v>4.5859048981416337E-2</v>
      </c>
      <c r="J674" s="3">
        <f t="shared" si="32"/>
        <v>3.9834569585961925E-2</v>
      </c>
      <c r="K674" s="3">
        <f t="shared" si="32"/>
        <v>5.3505485885118616E-2</v>
      </c>
      <c r="L674" s="3">
        <f t="shared" si="31"/>
        <v>3.6078949201347882E-2</v>
      </c>
      <c r="M674" s="3">
        <f t="shared" si="31"/>
        <v>1.7413769143588203E-2</v>
      </c>
      <c r="N674" s="3">
        <f t="shared" si="31"/>
        <v>1.8306159168068423E-2</v>
      </c>
    </row>
    <row r="675" spans="1:14" x14ac:dyDescent="0.3">
      <c r="A675" s="2">
        <v>45050</v>
      </c>
      <c r="B675" s="3">
        <v>165.79</v>
      </c>
      <c r="C675" s="3">
        <v>27.56</v>
      </c>
      <c r="D675" s="3">
        <v>161.19999999999999</v>
      </c>
      <c r="E675" s="3">
        <v>27.22</v>
      </c>
      <c r="F675" s="3">
        <v>31.31</v>
      </c>
      <c r="G675" s="4">
        <v>4061.22</v>
      </c>
      <c r="I675" s="3">
        <f t="shared" si="32"/>
        <v>-9.9628719888397669E-3</v>
      </c>
      <c r="J675" s="3">
        <f t="shared" si="32"/>
        <v>-8.6705745511336425E-3</v>
      </c>
      <c r="K675" s="3">
        <f t="shared" si="32"/>
        <v>3.6667639977219389E-3</v>
      </c>
      <c r="L675" s="3">
        <f t="shared" si="31"/>
        <v>-8.7784031165050007E-3</v>
      </c>
      <c r="M675" s="3">
        <f t="shared" si="31"/>
        <v>1.2210948641336143E-2</v>
      </c>
      <c r="N675" s="3">
        <f t="shared" si="31"/>
        <v>-7.2449062412514361E-3</v>
      </c>
    </row>
    <row r="676" spans="1:14" x14ac:dyDescent="0.3">
      <c r="A676" s="2">
        <v>45049</v>
      </c>
      <c r="B676" s="3">
        <v>167.45</v>
      </c>
      <c r="C676" s="3">
        <v>27.8</v>
      </c>
      <c r="D676" s="3">
        <v>160.61000000000001</v>
      </c>
      <c r="E676" s="3">
        <v>27.46</v>
      </c>
      <c r="F676" s="3">
        <v>30.93</v>
      </c>
      <c r="G676" s="4">
        <v>4090.75</v>
      </c>
      <c r="I676" s="3">
        <f t="shared" si="32"/>
        <v>-6.4883111039937416E-3</v>
      </c>
      <c r="J676" s="3">
        <f t="shared" si="32"/>
        <v>-1.4640504317313499E-2</v>
      </c>
      <c r="K676" s="3">
        <f t="shared" si="32"/>
        <v>1.869625373223739E-3</v>
      </c>
      <c r="L676" s="3">
        <f t="shared" si="31"/>
        <v>4.0138714718348069E-3</v>
      </c>
      <c r="M676" s="3">
        <f t="shared" si="31"/>
        <v>-4.516136707977781E-3</v>
      </c>
      <c r="N676" s="3">
        <f t="shared" si="31"/>
        <v>-7.0228890905811598E-3</v>
      </c>
    </row>
    <row r="677" spans="1:14" x14ac:dyDescent="0.3">
      <c r="A677" s="2">
        <v>45048</v>
      </c>
      <c r="B677" s="3">
        <v>168.54</v>
      </c>
      <c r="C677" s="3">
        <v>28.21</v>
      </c>
      <c r="D677" s="3">
        <v>160.31</v>
      </c>
      <c r="E677" s="3">
        <v>27.35</v>
      </c>
      <c r="F677" s="3">
        <v>31.07</v>
      </c>
      <c r="G677" s="4">
        <v>4119.58</v>
      </c>
      <c r="I677" s="3">
        <f t="shared" si="32"/>
        <v>-6.2106490111019149E-3</v>
      </c>
      <c r="J677" s="3">
        <f t="shared" si="32"/>
        <v>-2.4511031014349805E-2</v>
      </c>
      <c r="K677" s="3">
        <f t="shared" si="32"/>
        <v>-9.4369608272119078E-3</v>
      </c>
      <c r="L677" s="3">
        <f t="shared" si="31"/>
        <v>-5.4432785156635174E-2</v>
      </c>
      <c r="M677" s="3">
        <f t="shared" si="31"/>
        <v>-7.3753741411514929E-3</v>
      </c>
      <c r="N677" s="3">
        <f t="shared" si="31"/>
        <v>-1.1653897528004022E-2</v>
      </c>
    </row>
    <row r="678" spans="1:14" x14ac:dyDescent="0.3">
      <c r="A678" s="2">
        <v>45047</v>
      </c>
      <c r="B678" s="3">
        <v>169.59</v>
      </c>
      <c r="C678" s="3">
        <v>28.91</v>
      </c>
      <c r="D678" s="3">
        <v>161.83000000000001</v>
      </c>
      <c r="E678" s="3">
        <v>28.88</v>
      </c>
      <c r="F678" s="3">
        <v>31.3</v>
      </c>
      <c r="G678" s="4">
        <v>4167.87</v>
      </c>
      <c r="I678" s="3">
        <f t="shared" si="32"/>
        <v>-5.305509011179143E-4</v>
      </c>
      <c r="J678" s="3">
        <f t="shared" si="32"/>
        <v>4.0951715835811191E-2</v>
      </c>
      <c r="K678" s="3">
        <f t="shared" si="32"/>
        <v>-1.5208485934945544E-2</v>
      </c>
      <c r="L678" s="3">
        <f t="shared" si="31"/>
        <v>-1.2388320856952203E-2</v>
      </c>
      <c r="M678" s="3">
        <f t="shared" si="31"/>
        <v>2.1311752673717006E-2</v>
      </c>
      <c r="N678" s="3">
        <f t="shared" si="31"/>
        <v>-3.8621384972729493E-4</v>
      </c>
    </row>
    <row r="679" spans="1:14" x14ac:dyDescent="0.3">
      <c r="A679" s="2">
        <v>45044</v>
      </c>
      <c r="B679" s="3">
        <v>169.68</v>
      </c>
      <c r="C679" s="3">
        <v>27.75</v>
      </c>
      <c r="D679" s="3">
        <v>164.31</v>
      </c>
      <c r="E679" s="3">
        <v>29.24</v>
      </c>
      <c r="F679" s="3">
        <v>30.64</v>
      </c>
      <c r="G679" s="4">
        <v>4169.4799999999996</v>
      </c>
      <c r="I679" s="3">
        <f t="shared" si="32"/>
        <v>7.5128277884640464E-3</v>
      </c>
      <c r="J679" s="3">
        <f t="shared" si="32"/>
        <v>1.8916533506775284E-2</v>
      </c>
      <c r="K679" s="3">
        <f t="shared" si="32"/>
        <v>2.5394276750347666E-2</v>
      </c>
      <c r="L679" s="3">
        <f t="shared" si="31"/>
        <v>1.3774322464829422E-2</v>
      </c>
      <c r="M679" s="3">
        <f t="shared" si="31"/>
        <v>8.1927379436888895E-3</v>
      </c>
      <c r="N679" s="3">
        <f t="shared" si="31"/>
        <v>8.2193596125703667E-3</v>
      </c>
    </row>
    <row r="680" spans="1:14" x14ac:dyDescent="0.3">
      <c r="A680" s="2">
        <v>45043</v>
      </c>
      <c r="B680" s="3">
        <v>168.41</v>
      </c>
      <c r="C680" s="3">
        <v>27.23</v>
      </c>
      <c r="D680" s="3">
        <v>160.19</v>
      </c>
      <c r="E680" s="3">
        <v>28.84</v>
      </c>
      <c r="F680" s="3">
        <v>30.39</v>
      </c>
      <c r="G680" s="4">
        <v>4135.3500000000004</v>
      </c>
      <c r="I680" s="3">
        <f t="shared" si="32"/>
        <v>2.7999541114928781E-2</v>
      </c>
      <c r="J680" s="3">
        <f t="shared" si="32"/>
        <v>9.9650206415618885E-3</v>
      </c>
      <c r="K680" s="3">
        <f t="shared" si="32"/>
        <v>4.1032704026764823E-2</v>
      </c>
      <c r="L680" s="3">
        <f t="shared" si="31"/>
        <v>2.7777795639023694E-3</v>
      </c>
      <c r="M680" s="3">
        <f t="shared" si="31"/>
        <v>8.2604137303523683E-3</v>
      </c>
      <c r="N680" s="3">
        <f t="shared" si="31"/>
        <v>1.9377167380002121E-2</v>
      </c>
    </row>
    <row r="681" spans="1:14" x14ac:dyDescent="0.3">
      <c r="A681" s="2">
        <v>45042</v>
      </c>
      <c r="B681" s="3">
        <v>163.76</v>
      </c>
      <c r="C681" s="3">
        <v>26.96</v>
      </c>
      <c r="D681" s="3">
        <v>153.75</v>
      </c>
      <c r="E681" s="3">
        <v>28.76</v>
      </c>
      <c r="F681" s="3">
        <v>30.14</v>
      </c>
      <c r="G681" s="4">
        <v>4055.99</v>
      </c>
      <c r="I681" s="3">
        <f t="shared" si="32"/>
        <v>-6.10631087419618E-5</v>
      </c>
      <c r="J681" s="3">
        <f t="shared" si="32"/>
        <v>2.7069321968218124E-2</v>
      </c>
      <c r="K681" s="3">
        <f t="shared" si="32"/>
        <v>-4.4024665368616392E-2</v>
      </c>
      <c r="L681" s="3">
        <f t="shared" si="31"/>
        <v>-1.8260627986796125E-2</v>
      </c>
      <c r="M681" s="3">
        <f t="shared" si="31"/>
        <v>-2.4902990705350306E-2</v>
      </c>
      <c r="N681" s="3">
        <f t="shared" si="31"/>
        <v>-3.8486098771117832E-3</v>
      </c>
    </row>
    <row r="682" spans="1:14" x14ac:dyDescent="0.3">
      <c r="A682" s="2">
        <v>45041</v>
      </c>
      <c r="B682" s="3">
        <v>163.77000000000001</v>
      </c>
      <c r="C682" s="3">
        <v>26.24</v>
      </c>
      <c r="D682" s="3">
        <v>160.66999999999999</v>
      </c>
      <c r="E682" s="3">
        <v>29.29</v>
      </c>
      <c r="F682" s="3">
        <v>30.9</v>
      </c>
      <c r="G682" s="4">
        <v>4071.63</v>
      </c>
      <c r="I682" s="3">
        <f t="shared" si="32"/>
        <v>-9.4804721014777864E-3</v>
      </c>
      <c r="J682" s="3">
        <f t="shared" si="32"/>
        <v>-3.003228709887509E-2</v>
      </c>
      <c r="K682" s="3">
        <f t="shared" si="32"/>
        <v>-1.1633074694670812E-2</v>
      </c>
      <c r="L682" s="3">
        <f t="shared" si="31"/>
        <v>-3.026458287910537E-2</v>
      </c>
      <c r="M682" s="3">
        <f t="shared" si="31"/>
        <v>-1.5414563401186731E-2</v>
      </c>
      <c r="N682" s="3">
        <f t="shared" si="31"/>
        <v>-1.5937145594967939E-2</v>
      </c>
    </row>
    <row r="683" spans="1:14" x14ac:dyDescent="0.3">
      <c r="A683" s="2">
        <v>45040</v>
      </c>
      <c r="B683" s="3">
        <v>165.33</v>
      </c>
      <c r="C683" s="3">
        <v>27.04</v>
      </c>
      <c r="D683" s="3">
        <v>162.55000000000001</v>
      </c>
      <c r="E683" s="3">
        <v>30.19</v>
      </c>
      <c r="F683" s="3">
        <v>31.38</v>
      </c>
      <c r="G683" s="4">
        <v>4137.04</v>
      </c>
      <c r="I683" s="3">
        <f t="shared" si="32"/>
        <v>1.87679788705659E-3</v>
      </c>
      <c r="J683" s="3">
        <f t="shared" si="32"/>
        <v>-2.9542118974315201E-3</v>
      </c>
      <c r="K683" s="3">
        <f t="shared" si="32"/>
        <v>-1.5444558134466678E-2</v>
      </c>
      <c r="L683" s="3">
        <f t="shared" si="31"/>
        <v>1.7711407008961528E-2</v>
      </c>
      <c r="M683" s="3">
        <f t="shared" si="31"/>
        <v>-1.3924275604754333E-2</v>
      </c>
      <c r="N683" s="3">
        <f t="shared" si="31"/>
        <v>8.5121206122392508E-4</v>
      </c>
    </row>
    <row r="684" spans="1:14" x14ac:dyDescent="0.3">
      <c r="A684" s="2">
        <v>45037</v>
      </c>
      <c r="B684" s="3">
        <v>165.02</v>
      </c>
      <c r="C684" s="3">
        <v>27.12</v>
      </c>
      <c r="D684" s="3">
        <v>165.08</v>
      </c>
      <c r="E684" s="3">
        <v>29.66</v>
      </c>
      <c r="F684" s="3">
        <v>31.82</v>
      </c>
      <c r="G684" s="4">
        <v>4133.5200000000004</v>
      </c>
      <c r="I684" s="3">
        <f t="shared" si="32"/>
        <v>-9.829126077551523E-3</v>
      </c>
      <c r="J684" s="3">
        <f t="shared" si="32"/>
        <v>7.377351865395941E-4</v>
      </c>
      <c r="K684" s="3">
        <f t="shared" si="32"/>
        <v>1.2741355652839684E-2</v>
      </c>
      <c r="L684" s="3">
        <f t="shared" si="31"/>
        <v>-1.4393553932167796E-2</v>
      </c>
      <c r="M684" s="3">
        <f t="shared" si="31"/>
        <v>3.2255710301064298E-2</v>
      </c>
      <c r="N684" s="3">
        <f t="shared" si="31"/>
        <v>9.0278599092536804E-4</v>
      </c>
    </row>
    <row r="685" spans="1:14" x14ac:dyDescent="0.3">
      <c r="A685" s="2">
        <v>45036</v>
      </c>
      <c r="B685" s="3">
        <v>166.65</v>
      </c>
      <c r="C685" s="3">
        <v>27.1</v>
      </c>
      <c r="D685" s="3">
        <v>162.99</v>
      </c>
      <c r="E685" s="3">
        <v>30.09</v>
      </c>
      <c r="F685" s="3">
        <v>30.81</v>
      </c>
      <c r="G685" s="4">
        <v>4129.79</v>
      </c>
      <c r="I685" s="3">
        <f t="shared" si="32"/>
        <v>-5.8633648894377199E-3</v>
      </c>
      <c r="J685" s="3">
        <f t="shared" si="32"/>
        <v>-3.016765207143015E-2</v>
      </c>
      <c r="K685" s="3">
        <f t="shared" si="32"/>
        <v>-0.10254041923271046</v>
      </c>
      <c r="L685" s="3">
        <f t="shared" si="31"/>
        <v>-1.5499073656365894E-2</v>
      </c>
      <c r="M685" s="3">
        <f t="shared" si="31"/>
        <v>8.1473483102569126E-3</v>
      </c>
      <c r="N685" s="3">
        <f t="shared" si="31"/>
        <v>-5.9703399458197028E-3</v>
      </c>
    </row>
    <row r="686" spans="1:14" x14ac:dyDescent="0.3">
      <c r="A686" s="2">
        <v>45035</v>
      </c>
      <c r="B686" s="3">
        <v>167.63</v>
      </c>
      <c r="C686" s="3">
        <v>27.93</v>
      </c>
      <c r="D686" s="3">
        <v>180.59</v>
      </c>
      <c r="E686" s="3">
        <v>30.56</v>
      </c>
      <c r="F686" s="3">
        <v>30.56</v>
      </c>
      <c r="G686" s="4">
        <v>4154.5200000000004</v>
      </c>
      <c r="I686" s="3">
        <f t="shared" si="32"/>
        <v>6.9440566372668067E-3</v>
      </c>
      <c r="J686" s="3">
        <f t="shared" si="32"/>
        <v>9.3525861582506864E-3</v>
      </c>
      <c r="K686" s="3">
        <f t="shared" si="32"/>
        <v>-2.0389854099279486E-2</v>
      </c>
      <c r="L686" s="3">
        <f t="shared" si="31"/>
        <v>3.5301700952545485E-2</v>
      </c>
      <c r="M686" s="3">
        <f t="shared" si="31"/>
        <v>4.9204626090463563E-3</v>
      </c>
      <c r="N686" s="3">
        <f t="shared" si="31"/>
        <v>-8.4242044291161936E-5</v>
      </c>
    </row>
    <row r="687" spans="1:14" x14ac:dyDescent="0.3">
      <c r="A687" s="2">
        <v>45034</v>
      </c>
      <c r="B687" s="3">
        <v>166.47</v>
      </c>
      <c r="C687" s="3">
        <v>27.67</v>
      </c>
      <c r="D687" s="3">
        <v>184.31</v>
      </c>
      <c r="E687" s="3">
        <v>29.5</v>
      </c>
      <c r="F687" s="3">
        <v>30.41</v>
      </c>
      <c r="G687" s="4">
        <v>4154.87</v>
      </c>
      <c r="I687" s="3">
        <f t="shared" si="32"/>
        <v>7.476670343020137E-3</v>
      </c>
      <c r="J687" s="3">
        <f t="shared" si="32"/>
        <v>2.4511927794505492E-2</v>
      </c>
      <c r="K687" s="3">
        <f t="shared" si="32"/>
        <v>-1.4703375160226897E-2</v>
      </c>
      <c r="L687" s="3">
        <f t="shared" si="31"/>
        <v>1.1935350549272854E-2</v>
      </c>
      <c r="M687" s="3">
        <f t="shared" si="31"/>
        <v>-1.3144924666327283E-3</v>
      </c>
      <c r="N687" s="3">
        <f t="shared" si="31"/>
        <v>8.547842551524592E-4</v>
      </c>
    </row>
    <row r="688" spans="1:14" x14ac:dyDescent="0.3">
      <c r="A688" s="2">
        <v>45033</v>
      </c>
      <c r="B688" s="3">
        <v>165.23</v>
      </c>
      <c r="C688" s="3">
        <v>27</v>
      </c>
      <c r="D688" s="3">
        <v>187.04</v>
      </c>
      <c r="E688" s="3">
        <v>29.15</v>
      </c>
      <c r="F688" s="3">
        <v>30.45</v>
      </c>
      <c r="G688" s="4">
        <v>4151.32</v>
      </c>
      <c r="I688" s="3">
        <f t="shared" si="32"/>
        <v>1.2105072039954903E-4</v>
      </c>
      <c r="J688" s="3">
        <f t="shared" si="32"/>
        <v>8.9286307443013982E-3</v>
      </c>
      <c r="K688" s="3">
        <f t="shared" si="32"/>
        <v>1.0966672645433396E-2</v>
      </c>
      <c r="L688" s="3">
        <f t="shared" si="31"/>
        <v>0</v>
      </c>
      <c r="M688" s="3">
        <f t="shared" si="31"/>
        <v>-3.283533111097529E-4</v>
      </c>
      <c r="N688" s="3">
        <f t="shared" si="31"/>
        <v>3.3007789687629755E-3</v>
      </c>
    </row>
    <row r="689" spans="1:14" x14ac:dyDescent="0.3">
      <c r="A689" s="2">
        <v>45030</v>
      </c>
      <c r="B689" s="3">
        <v>165.21</v>
      </c>
      <c r="C689" s="3">
        <v>26.76</v>
      </c>
      <c r="D689" s="3">
        <v>185</v>
      </c>
      <c r="E689" s="3">
        <v>29.15</v>
      </c>
      <c r="F689" s="3">
        <v>30.46</v>
      </c>
      <c r="G689" s="4">
        <v>4137.6400000000003</v>
      </c>
      <c r="I689" s="3">
        <f t="shared" si="32"/>
        <v>-2.1162749380318254E-3</v>
      </c>
      <c r="J689" s="3">
        <f t="shared" si="32"/>
        <v>1.1274076573218161E-2</v>
      </c>
      <c r="K689" s="3">
        <f t="shared" si="32"/>
        <v>-4.8530696490735889E-3</v>
      </c>
      <c r="L689" s="3">
        <f t="shared" si="31"/>
        <v>-1.0238997301094312E-2</v>
      </c>
      <c r="M689" s="3">
        <f t="shared" si="31"/>
        <v>1.3140606358690366E-3</v>
      </c>
      <c r="N689" s="3">
        <f t="shared" si="31"/>
        <v>-2.0714988104920951E-3</v>
      </c>
    </row>
    <row r="690" spans="1:14" x14ac:dyDescent="0.3">
      <c r="A690" s="2">
        <v>45029</v>
      </c>
      <c r="B690" s="3">
        <v>165.56</v>
      </c>
      <c r="C690" s="3">
        <v>26.46</v>
      </c>
      <c r="D690" s="3">
        <v>185.9</v>
      </c>
      <c r="E690" s="3">
        <v>29.45</v>
      </c>
      <c r="F690" s="3">
        <v>30.42</v>
      </c>
      <c r="G690" s="4">
        <v>4146.22</v>
      </c>
      <c r="I690" s="3">
        <f t="shared" si="32"/>
        <v>3.3535046877862622E-2</v>
      </c>
      <c r="J690" s="3">
        <f t="shared" si="32"/>
        <v>-1.5105743053668542E-3</v>
      </c>
      <c r="K690" s="3">
        <f t="shared" si="32"/>
        <v>2.92565348573895E-2</v>
      </c>
      <c r="L690" s="3">
        <f t="shared" si="31"/>
        <v>6.8143364197301879E-3</v>
      </c>
      <c r="M690" s="3">
        <f t="shared" si="31"/>
        <v>8.583743691391435E-3</v>
      </c>
      <c r="N690" s="3">
        <f t="shared" si="31"/>
        <v>1.3175446748330008E-2</v>
      </c>
    </row>
    <row r="691" spans="1:14" x14ac:dyDescent="0.3">
      <c r="A691" s="2">
        <v>45028</v>
      </c>
      <c r="B691" s="3">
        <v>160.1</v>
      </c>
      <c r="C691" s="3">
        <v>26.5</v>
      </c>
      <c r="D691" s="3">
        <v>180.54</v>
      </c>
      <c r="E691" s="3">
        <v>29.25</v>
      </c>
      <c r="F691" s="3">
        <v>30.16</v>
      </c>
      <c r="G691" s="4">
        <v>4091.95</v>
      </c>
      <c r="I691" s="3">
        <f t="shared" si="32"/>
        <v>-4.362736742197071E-3</v>
      </c>
      <c r="J691" s="3">
        <f t="shared" si="32"/>
        <v>-2.4968690446079963E-2</v>
      </c>
      <c r="K691" s="3">
        <f t="shared" si="32"/>
        <v>-3.40326313012028E-2</v>
      </c>
      <c r="L691" s="3">
        <f t="shared" si="31"/>
        <v>3.4246608813641747E-3</v>
      </c>
      <c r="M691" s="3">
        <f t="shared" si="31"/>
        <v>-4.9611479299564382E-3</v>
      </c>
      <c r="N691" s="3">
        <f t="shared" si="31"/>
        <v>-4.1434586507983449E-3</v>
      </c>
    </row>
    <row r="692" spans="1:14" x14ac:dyDescent="0.3">
      <c r="A692" s="2">
        <v>45027</v>
      </c>
      <c r="B692" s="3">
        <v>160.80000000000001</v>
      </c>
      <c r="C692" s="3">
        <v>27.17</v>
      </c>
      <c r="D692" s="3">
        <v>186.79</v>
      </c>
      <c r="E692" s="3">
        <v>29.15</v>
      </c>
      <c r="F692" s="3">
        <v>30.31</v>
      </c>
      <c r="G692" s="4">
        <v>4108.9399999999996</v>
      </c>
      <c r="I692" s="3">
        <f t="shared" si="32"/>
        <v>-7.6201465280433993E-3</v>
      </c>
      <c r="J692" s="3">
        <f t="shared" si="32"/>
        <v>-1.4977448926899225E-2</v>
      </c>
      <c r="K692" s="3">
        <f t="shared" si="32"/>
        <v>1.2281328617420638E-2</v>
      </c>
      <c r="L692" s="3">
        <f t="shared" si="31"/>
        <v>1.1038401146190539E-2</v>
      </c>
      <c r="M692" s="3">
        <f t="shared" si="31"/>
        <v>1.0613698308794122E-2</v>
      </c>
      <c r="N692" s="3">
        <f t="shared" si="31"/>
        <v>-4.1372345026909729E-5</v>
      </c>
    </row>
    <row r="693" spans="1:14" x14ac:dyDescent="0.3">
      <c r="A693" s="2">
        <v>45026</v>
      </c>
      <c r="B693" s="3">
        <v>162.03</v>
      </c>
      <c r="C693" s="3">
        <v>27.58</v>
      </c>
      <c r="D693" s="3">
        <v>184.51</v>
      </c>
      <c r="E693" s="3">
        <v>28.83</v>
      </c>
      <c r="F693" s="3">
        <v>29.99</v>
      </c>
      <c r="G693" s="4">
        <v>4109.1099999999997</v>
      </c>
      <c r="I693" s="3">
        <f t="shared" si="32"/>
        <v>-1.6101238597370535E-2</v>
      </c>
      <c r="J693" s="3">
        <f t="shared" si="32"/>
        <v>1.9773621190392377E-2</v>
      </c>
      <c r="K693" s="3">
        <f t="shared" si="32"/>
        <v>-2.976434267093262E-3</v>
      </c>
      <c r="L693" s="3">
        <f t="shared" si="31"/>
        <v>1.1161608725730097E-2</v>
      </c>
      <c r="M693" s="3">
        <f t="shared" si="31"/>
        <v>-9.9983344439823338E-4</v>
      </c>
      <c r="N693" s="3">
        <f t="shared" si="31"/>
        <v>9.9584504701190541E-4</v>
      </c>
    </row>
    <row r="694" spans="1:14" x14ac:dyDescent="0.3">
      <c r="A694" s="2">
        <v>45022</v>
      </c>
      <c r="B694" s="3">
        <v>164.66</v>
      </c>
      <c r="C694" s="3">
        <v>27.04</v>
      </c>
      <c r="D694" s="3">
        <v>185.06</v>
      </c>
      <c r="E694" s="3">
        <v>28.51</v>
      </c>
      <c r="F694" s="3">
        <v>30.02</v>
      </c>
      <c r="G694" s="4">
        <v>4105.0200000000004</v>
      </c>
      <c r="I694" s="3">
        <f t="shared" si="32"/>
        <v>5.4808005172460074E-3</v>
      </c>
      <c r="J694" s="3">
        <f t="shared" si="32"/>
        <v>5.9347355198145265E-3</v>
      </c>
      <c r="K694" s="3">
        <f t="shared" si="32"/>
        <v>-2.4825961263920913E-3</v>
      </c>
      <c r="L694" s="3">
        <f t="shared" si="31"/>
        <v>-1.8419287032014606E-2</v>
      </c>
      <c r="M694" s="3">
        <f t="shared" si="31"/>
        <v>2.4617665365673769E-2</v>
      </c>
      <c r="N694" s="3">
        <f t="shared" si="31"/>
        <v>3.5727397253701647E-3</v>
      </c>
    </row>
    <row r="695" spans="1:14" x14ac:dyDescent="0.3">
      <c r="A695" s="2">
        <v>45021</v>
      </c>
      <c r="B695" s="3">
        <v>163.76</v>
      </c>
      <c r="C695" s="3">
        <v>26.88</v>
      </c>
      <c r="D695" s="3">
        <v>185.52</v>
      </c>
      <c r="E695" s="3">
        <v>29.04</v>
      </c>
      <c r="F695" s="3">
        <v>29.29</v>
      </c>
      <c r="G695" s="4">
        <v>4090.38</v>
      </c>
      <c r="I695" s="3">
        <f t="shared" si="32"/>
        <v>-1.1354443611028924E-2</v>
      </c>
      <c r="J695" s="3">
        <f t="shared" si="32"/>
        <v>-2.0983652300590846E-2</v>
      </c>
      <c r="K695" s="3">
        <f t="shared" si="32"/>
        <v>-3.7348958864861677E-2</v>
      </c>
      <c r="L695" s="3">
        <f t="shared" si="31"/>
        <v>-7.2053837212702242E-3</v>
      </c>
      <c r="M695" s="3">
        <f t="shared" si="31"/>
        <v>-7.4830281152060175E-3</v>
      </c>
      <c r="N695" s="3">
        <f t="shared" si="31"/>
        <v>-2.4954291924703361E-3</v>
      </c>
    </row>
    <row r="696" spans="1:14" x14ac:dyDescent="0.3">
      <c r="A696" s="2">
        <v>45020</v>
      </c>
      <c r="B696" s="3">
        <v>165.63</v>
      </c>
      <c r="C696" s="3">
        <v>27.45</v>
      </c>
      <c r="D696" s="3">
        <v>192.58</v>
      </c>
      <c r="E696" s="3">
        <v>29.25</v>
      </c>
      <c r="F696" s="3">
        <v>29.51</v>
      </c>
      <c r="G696" s="4">
        <v>4100.6000000000004</v>
      </c>
      <c r="I696" s="3">
        <f t="shared" si="32"/>
        <v>-3.2549757490592185E-3</v>
      </c>
      <c r="J696" s="3">
        <f t="shared" si="32"/>
        <v>-1.8766339258328713E-2</v>
      </c>
      <c r="K696" s="3">
        <f t="shared" si="32"/>
        <v>-1.1307723429670544E-2</v>
      </c>
      <c r="L696" s="3">
        <f t="shared" si="31"/>
        <v>-2.2313298963991195E-2</v>
      </c>
      <c r="M696" s="3">
        <f t="shared" si="31"/>
        <v>-1.1455650883763017E-2</v>
      </c>
      <c r="N696" s="3">
        <f t="shared" si="31"/>
        <v>-5.8139203852082119E-3</v>
      </c>
    </row>
    <row r="697" spans="1:14" x14ac:dyDescent="0.3">
      <c r="A697" s="2">
        <v>45019</v>
      </c>
      <c r="B697" s="3">
        <v>166.17</v>
      </c>
      <c r="C697" s="3">
        <v>27.97</v>
      </c>
      <c r="D697" s="3">
        <v>194.77</v>
      </c>
      <c r="E697" s="3">
        <v>29.91</v>
      </c>
      <c r="F697" s="3">
        <v>29.85</v>
      </c>
      <c r="G697" s="4">
        <v>4124.51</v>
      </c>
      <c r="I697" s="3">
        <f t="shared" si="32"/>
        <v>7.6721311475689783E-3</v>
      </c>
      <c r="J697" s="3">
        <f t="shared" si="32"/>
        <v>6.8161698876706726E-3</v>
      </c>
      <c r="K697" s="3">
        <f t="shared" si="32"/>
        <v>-6.311917476187355E-2</v>
      </c>
      <c r="L697" s="3">
        <f t="shared" si="31"/>
        <v>3.5736319296131761E-2</v>
      </c>
      <c r="M697" s="3">
        <f t="shared" si="31"/>
        <v>-3.0105391528711519E-3</v>
      </c>
      <c r="N697" s="3">
        <f t="shared" si="31"/>
        <v>3.6920936495169121E-3</v>
      </c>
    </row>
    <row r="698" spans="1:14" x14ac:dyDescent="0.3">
      <c r="A698" s="2">
        <v>45016</v>
      </c>
      <c r="B698" s="3">
        <v>164.9</v>
      </c>
      <c r="C698" s="3">
        <v>27.78</v>
      </c>
      <c r="D698" s="3">
        <v>207.46</v>
      </c>
      <c r="E698" s="3">
        <v>28.86</v>
      </c>
      <c r="F698" s="3">
        <v>29.94</v>
      </c>
      <c r="G698" s="4">
        <v>4109.3100000000004</v>
      </c>
      <c r="I698" s="3">
        <f t="shared" si="32"/>
        <v>1.5523137594856146E-2</v>
      </c>
      <c r="J698" s="3">
        <f t="shared" si="32"/>
        <v>1.4503517465895031E-2</v>
      </c>
      <c r="K698" s="3">
        <f t="shared" si="32"/>
        <v>6.0504123918977325E-2</v>
      </c>
      <c r="L698" s="3">
        <f t="shared" si="31"/>
        <v>3.818786102365274E-3</v>
      </c>
      <c r="M698" s="3">
        <f t="shared" si="31"/>
        <v>1.4805115645708144E-2</v>
      </c>
      <c r="N698" s="3">
        <f t="shared" si="31"/>
        <v>1.4333332809426856E-2</v>
      </c>
    </row>
    <row r="699" spans="1:14" x14ac:dyDescent="0.3">
      <c r="A699" s="2">
        <v>45015</v>
      </c>
      <c r="B699" s="3">
        <v>162.36000000000001</v>
      </c>
      <c r="C699" s="3">
        <v>27.38</v>
      </c>
      <c r="D699" s="3">
        <v>195.28</v>
      </c>
      <c r="E699" s="3">
        <v>28.75</v>
      </c>
      <c r="F699" s="3">
        <v>29.5</v>
      </c>
      <c r="G699" s="4">
        <v>4050.83</v>
      </c>
      <c r="I699" s="3">
        <f t="shared" si="32"/>
        <v>9.8413197958284095E-3</v>
      </c>
      <c r="J699" s="3">
        <f t="shared" si="32"/>
        <v>1.4716969080692942E-2</v>
      </c>
      <c r="K699" s="3">
        <f t="shared" si="32"/>
        <v>7.1950151075294228E-3</v>
      </c>
      <c r="L699" s="3">
        <f t="shared" si="31"/>
        <v>2.0380185355078163E-2</v>
      </c>
      <c r="M699" s="3">
        <f t="shared" si="31"/>
        <v>-3.0462030663441003E-3</v>
      </c>
      <c r="N699" s="3">
        <f t="shared" si="31"/>
        <v>5.698994460609173E-3</v>
      </c>
    </row>
    <row r="700" spans="1:14" x14ac:dyDescent="0.3">
      <c r="A700" s="2">
        <v>45014</v>
      </c>
      <c r="B700" s="3">
        <v>160.77000000000001</v>
      </c>
      <c r="C700" s="3">
        <v>26.98</v>
      </c>
      <c r="D700" s="3">
        <v>193.88</v>
      </c>
      <c r="E700" s="3">
        <v>28.17</v>
      </c>
      <c r="F700" s="3">
        <v>29.59</v>
      </c>
      <c r="G700" s="4">
        <v>4027.81</v>
      </c>
      <c r="I700" s="3">
        <f t="shared" si="32"/>
        <v>1.9597386183798766E-2</v>
      </c>
      <c r="J700" s="3">
        <f t="shared" si="32"/>
        <v>2.1353124470569061E-2</v>
      </c>
      <c r="K700" s="3">
        <f t="shared" si="32"/>
        <v>2.4487609878847183E-2</v>
      </c>
      <c r="L700" s="3">
        <f t="shared" si="31"/>
        <v>2.1166709523125687E-2</v>
      </c>
      <c r="M700" s="3">
        <f t="shared" si="31"/>
        <v>1.6354708654586488E-2</v>
      </c>
      <c r="N700" s="3">
        <f t="shared" si="31"/>
        <v>1.4136861145886559E-2</v>
      </c>
    </row>
    <row r="701" spans="1:14" x14ac:dyDescent="0.3">
      <c r="A701" s="2">
        <v>45013</v>
      </c>
      <c r="B701" s="3">
        <v>157.65</v>
      </c>
      <c r="C701" s="3">
        <v>26.41</v>
      </c>
      <c r="D701" s="3">
        <v>189.19</v>
      </c>
      <c r="E701" s="3">
        <v>27.58</v>
      </c>
      <c r="F701" s="3">
        <v>29.11</v>
      </c>
      <c r="G701" s="4">
        <v>3971.27</v>
      </c>
      <c r="I701" s="3">
        <f t="shared" si="32"/>
        <v>-3.988230526153708E-3</v>
      </c>
      <c r="J701" s="3">
        <f t="shared" si="32"/>
        <v>-4.5334418406074361E-3</v>
      </c>
      <c r="K701" s="3">
        <f t="shared" si="32"/>
        <v>-1.3753497635268667E-2</v>
      </c>
      <c r="L701" s="3">
        <f t="shared" si="31"/>
        <v>1.1670446096768988E-2</v>
      </c>
      <c r="M701" s="3">
        <f t="shared" si="31"/>
        <v>1.2443990514172488E-2</v>
      </c>
      <c r="N701" s="3">
        <f t="shared" si="31"/>
        <v>-1.5750808409301009E-3</v>
      </c>
    </row>
    <row r="702" spans="1:14" x14ac:dyDescent="0.3">
      <c r="A702" s="2">
        <v>45012</v>
      </c>
      <c r="B702" s="3">
        <v>158.28</v>
      </c>
      <c r="C702" s="3">
        <v>26.53</v>
      </c>
      <c r="D702" s="3">
        <v>191.81</v>
      </c>
      <c r="E702" s="3">
        <v>27.26</v>
      </c>
      <c r="F702" s="3">
        <v>28.75</v>
      </c>
      <c r="G702" s="4">
        <v>3977.53</v>
      </c>
      <c r="I702" s="3">
        <f t="shared" si="32"/>
        <v>-1.2369479283555878E-2</v>
      </c>
      <c r="J702" s="3">
        <f t="shared" si="32"/>
        <v>-9.3791721133781505E-3</v>
      </c>
      <c r="K702" s="3">
        <f t="shared" si="32"/>
        <v>7.3256567471083004E-3</v>
      </c>
      <c r="L702" s="3">
        <f t="shared" si="31"/>
        <v>8.8430937363338513E-3</v>
      </c>
      <c r="M702" s="3">
        <f t="shared" si="31"/>
        <v>1.7544309650909525E-2</v>
      </c>
      <c r="N702" s="3">
        <f t="shared" si="31"/>
        <v>1.6455897389303137E-3</v>
      </c>
    </row>
    <row r="703" spans="1:14" x14ac:dyDescent="0.3">
      <c r="A703" s="2">
        <v>45009</v>
      </c>
      <c r="B703" s="3">
        <v>160.25</v>
      </c>
      <c r="C703" s="3">
        <v>26.78</v>
      </c>
      <c r="D703" s="3">
        <v>190.41</v>
      </c>
      <c r="E703" s="3">
        <v>27.02</v>
      </c>
      <c r="F703" s="3">
        <v>28.25</v>
      </c>
      <c r="G703" s="4">
        <v>3970.99</v>
      </c>
      <c r="I703" s="3">
        <f t="shared" si="32"/>
        <v>8.2712420920511859E-3</v>
      </c>
      <c r="J703" s="3">
        <f t="shared" si="32"/>
        <v>-1.5193918381352889E-2</v>
      </c>
      <c r="K703" s="3">
        <f t="shared" si="32"/>
        <v>-9.4609074086498251E-3</v>
      </c>
      <c r="L703" s="3">
        <f t="shared" si="31"/>
        <v>1.0790802381225227E-2</v>
      </c>
      <c r="M703" s="3">
        <f t="shared" si="31"/>
        <v>6.0358784348396319E-3</v>
      </c>
      <c r="N703" s="3">
        <f t="shared" si="31"/>
        <v>5.623958124210314E-3</v>
      </c>
    </row>
    <row r="704" spans="1:14" x14ac:dyDescent="0.3">
      <c r="A704" s="2">
        <v>45008</v>
      </c>
      <c r="B704" s="3">
        <v>158.93</v>
      </c>
      <c r="C704" s="3">
        <v>27.19</v>
      </c>
      <c r="D704" s="3">
        <v>192.22</v>
      </c>
      <c r="E704" s="3">
        <v>26.73</v>
      </c>
      <c r="F704" s="3">
        <v>28.08</v>
      </c>
      <c r="G704" s="4">
        <v>3948.72</v>
      </c>
      <c r="I704" s="3">
        <f t="shared" si="32"/>
        <v>6.9453492979026912E-3</v>
      </c>
      <c r="J704" s="3">
        <f t="shared" si="32"/>
        <v>2.6837242405369575E-2</v>
      </c>
      <c r="K704" s="3">
        <f t="shared" si="32"/>
        <v>5.5820892527163515E-3</v>
      </c>
      <c r="L704" s="3">
        <f t="shared" si="31"/>
        <v>-1.1530721023935642E-2</v>
      </c>
      <c r="M704" s="3">
        <f t="shared" si="31"/>
        <v>-7.450806155865527E-3</v>
      </c>
      <c r="N704" s="3">
        <f t="shared" si="31"/>
        <v>2.9800838470393862E-3</v>
      </c>
    </row>
    <row r="705" spans="1:14" x14ac:dyDescent="0.3">
      <c r="A705" s="2">
        <v>45007</v>
      </c>
      <c r="B705" s="3">
        <v>157.83000000000001</v>
      </c>
      <c r="C705" s="3">
        <v>26.47</v>
      </c>
      <c r="D705" s="3">
        <v>191.15</v>
      </c>
      <c r="E705" s="3">
        <v>27.04</v>
      </c>
      <c r="F705" s="3">
        <v>28.29</v>
      </c>
      <c r="G705" s="4">
        <v>3936.97</v>
      </c>
      <c r="I705" s="3">
        <f t="shared" si="32"/>
        <v>-9.1451553451152717E-3</v>
      </c>
      <c r="J705" s="3">
        <f t="shared" si="32"/>
        <v>1.0252605471958753E-2</v>
      </c>
      <c r="K705" s="3">
        <f t="shared" si="32"/>
        <v>-3.3085105473906203E-2</v>
      </c>
      <c r="L705" s="3">
        <f t="shared" si="31"/>
        <v>-3.6314810991626055E-2</v>
      </c>
      <c r="M705" s="3">
        <f t="shared" si="31"/>
        <v>-3.5761491704974925E-2</v>
      </c>
      <c r="N705" s="3">
        <f t="shared" si="31"/>
        <v>-1.6600211922495948E-2</v>
      </c>
    </row>
    <row r="706" spans="1:14" x14ac:dyDescent="0.3">
      <c r="A706" s="2">
        <v>45006</v>
      </c>
      <c r="B706" s="3">
        <v>159.28</v>
      </c>
      <c r="C706" s="3">
        <v>26.2</v>
      </c>
      <c r="D706" s="3">
        <v>197.58</v>
      </c>
      <c r="E706" s="3">
        <v>28.04</v>
      </c>
      <c r="F706" s="3">
        <v>29.32</v>
      </c>
      <c r="G706" s="4">
        <v>4002.87</v>
      </c>
      <c r="I706" s="3">
        <f t="shared" si="32"/>
        <v>1.1873323772638007E-2</v>
      </c>
      <c r="J706" s="3">
        <f t="shared" si="32"/>
        <v>1.1516442061559081E-2</v>
      </c>
      <c r="K706" s="3">
        <f t="shared" si="32"/>
        <v>7.5292224849567199E-2</v>
      </c>
      <c r="L706" s="3">
        <f t="shared" si="31"/>
        <v>3.9648764811383241E-2</v>
      </c>
      <c r="M706" s="3">
        <f t="shared" si="31"/>
        <v>4.7863339238111719E-3</v>
      </c>
      <c r="N706" s="3">
        <f t="shared" si="31"/>
        <v>1.289863554198477E-2</v>
      </c>
    </row>
    <row r="707" spans="1:14" x14ac:dyDescent="0.3">
      <c r="A707" s="2">
        <v>45005</v>
      </c>
      <c r="B707" s="3">
        <v>157.4</v>
      </c>
      <c r="C707" s="3">
        <v>25.9</v>
      </c>
      <c r="D707" s="3">
        <v>183.25</v>
      </c>
      <c r="E707" s="3">
        <v>26.95</v>
      </c>
      <c r="F707" s="3">
        <v>29.18</v>
      </c>
      <c r="G707" s="4">
        <v>3951.57</v>
      </c>
      <c r="I707" s="3">
        <f t="shared" si="32"/>
        <v>1.5365219064056359E-2</v>
      </c>
      <c r="J707" s="3">
        <f t="shared" si="32"/>
        <v>6.5853424118391887E-3</v>
      </c>
      <c r="K707" s="3">
        <f t="shared" si="32"/>
        <v>1.7172528331293763E-2</v>
      </c>
      <c r="L707" s="3">
        <f t="shared" si="32"/>
        <v>1.1137925784791016E-3</v>
      </c>
      <c r="M707" s="3">
        <f t="shared" si="32"/>
        <v>9.2959870663848337E-3</v>
      </c>
      <c r="N707" s="3">
        <f t="shared" si="32"/>
        <v>8.878824909597214E-3</v>
      </c>
    </row>
    <row r="708" spans="1:14" x14ac:dyDescent="0.3">
      <c r="A708" s="2">
        <v>45002</v>
      </c>
      <c r="B708" s="3">
        <v>155</v>
      </c>
      <c r="C708" s="3">
        <v>25.73</v>
      </c>
      <c r="D708" s="3">
        <v>180.13</v>
      </c>
      <c r="E708" s="3">
        <v>26.92</v>
      </c>
      <c r="F708" s="3">
        <v>28.91</v>
      </c>
      <c r="G708" s="4">
        <v>3916.64</v>
      </c>
      <c r="I708" s="3">
        <f t="shared" ref="I708:N755" si="33">LN(B708/B709)</f>
        <v>-5.4688892940994126E-3</v>
      </c>
      <c r="J708" s="3">
        <f t="shared" si="33"/>
        <v>7.4117756892595902E-3</v>
      </c>
      <c r="K708" s="3">
        <f t="shared" si="33"/>
        <v>-2.196321744366168E-2</v>
      </c>
      <c r="L708" s="3">
        <f t="shared" si="33"/>
        <v>-1.4017197414386943E-2</v>
      </c>
      <c r="M708" s="3">
        <f t="shared" si="33"/>
        <v>-1.4423326961104939E-2</v>
      </c>
      <c r="N708" s="3">
        <f t="shared" si="33"/>
        <v>-1.1080586449227313E-2</v>
      </c>
    </row>
    <row r="709" spans="1:14" x14ac:dyDescent="0.3">
      <c r="A709" s="2">
        <v>45001</v>
      </c>
      <c r="B709" s="3">
        <v>155.85</v>
      </c>
      <c r="C709" s="3">
        <v>25.54</v>
      </c>
      <c r="D709" s="3">
        <v>184.13</v>
      </c>
      <c r="E709" s="3">
        <v>27.3</v>
      </c>
      <c r="F709" s="3">
        <v>29.33</v>
      </c>
      <c r="G709" s="4">
        <v>3960.28</v>
      </c>
      <c r="I709" s="3">
        <f t="shared" si="33"/>
        <v>1.8521446434058394E-2</v>
      </c>
      <c r="J709" s="3">
        <f t="shared" si="33"/>
        <v>5.2654315775958915E-2</v>
      </c>
      <c r="K709" s="3">
        <f t="shared" si="33"/>
        <v>2.0188298790331252E-2</v>
      </c>
      <c r="L709" s="3">
        <f t="shared" si="33"/>
        <v>1.6620881236040282E-2</v>
      </c>
      <c r="M709" s="3">
        <f t="shared" si="33"/>
        <v>1.2004946096823182E-2</v>
      </c>
      <c r="N709" s="3">
        <f t="shared" si="33"/>
        <v>1.7409551286964531E-2</v>
      </c>
    </row>
    <row r="710" spans="1:14" x14ac:dyDescent="0.3">
      <c r="A710" s="2">
        <v>45000</v>
      </c>
      <c r="B710" s="3">
        <v>152.99</v>
      </c>
      <c r="C710" s="3">
        <v>24.23</v>
      </c>
      <c r="D710" s="3">
        <v>180.45</v>
      </c>
      <c r="E710" s="3">
        <v>26.85</v>
      </c>
      <c r="F710" s="3">
        <v>28.98</v>
      </c>
      <c r="G710" s="4">
        <v>3891.93</v>
      </c>
      <c r="I710" s="3">
        <f t="shared" si="33"/>
        <v>2.6179738756434445E-3</v>
      </c>
      <c r="J710" s="3">
        <f t="shared" si="33"/>
        <v>7.0408242819015674E-3</v>
      </c>
      <c r="K710" s="3">
        <f t="shared" si="33"/>
        <v>-1.545217844826967E-2</v>
      </c>
      <c r="L710" s="3">
        <f t="shared" si="33"/>
        <v>-5.4713880709053024E-2</v>
      </c>
      <c r="M710" s="3">
        <f t="shared" si="33"/>
        <v>-9.6154586994419804E-3</v>
      </c>
      <c r="N710" s="3">
        <f t="shared" si="33"/>
        <v>-7.0053363982352087E-3</v>
      </c>
    </row>
    <row r="711" spans="1:14" x14ac:dyDescent="0.3">
      <c r="A711" s="2">
        <v>44999</v>
      </c>
      <c r="B711" s="3">
        <v>152.59</v>
      </c>
      <c r="C711" s="3">
        <v>24.06</v>
      </c>
      <c r="D711" s="3">
        <v>183.26</v>
      </c>
      <c r="E711" s="3">
        <v>28.36</v>
      </c>
      <c r="F711" s="3">
        <v>29.26</v>
      </c>
      <c r="G711" s="4">
        <v>3919.29</v>
      </c>
      <c r="I711" s="3">
        <f t="shared" si="33"/>
        <v>1.3990857132857637E-2</v>
      </c>
      <c r="J711" s="3">
        <f t="shared" si="33"/>
        <v>4.6361693845525943E-2</v>
      </c>
      <c r="K711" s="3">
        <f t="shared" si="33"/>
        <v>4.9095787643693566E-2</v>
      </c>
      <c r="L711" s="3">
        <f t="shared" si="33"/>
        <v>7.7876499776837645E-3</v>
      </c>
      <c r="M711" s="3">
        <f t="shared" si="33"/>
        <v>6.8587374498415305E-3</v>
      </c>
      <c r="N711" s="3">
        <f t="shared" si="33"/>
        <v>1.6342380801371525E-2</v>
      </c>
    </row>
    <row r="712" spans="1:14" x14ac:dyDescent="0.3">
      <c r="A712" s="2">
        <v>44998</v>
      </c>
      <c r="B712" s="3">
        <v>150.47</v>
      </c>
      <c r="C712" s="3">
        <v>22.97</v>
      </c>
      <c r="D712" s="3">
        <v>174.48</v>
      </c>
      <c r="E712" s="3">
        <v>28.14</v>
      </c>
      <c r="F712" s="3">
        <v>29.06</v>
      </c>
      <c r="G712" s="4">
        <v>3855.76</v>
      </c>
      <c r="I712" s="3">
        <f t="shared" si="33"/>
        <v>1.3178770528032447E-2</v>
      </c>
      <c r="J712" s="3">
        <f t="shared" si="33"/>
        <v>0</v>
      </c>
      <c r="K712" s="3">
        <f t="shared" si="33"/>
        <v>5.978403642092121E-3</v>
      </c>
      <c r="L712" s="3">
        <f t="shared" si="33"/>
        <v>-3.2514662884541516E-2</v>
      </c>
      <c r="M712" s="3">
        <f t="shared" si="33"/>
        <v>-1.4688564685048016E-2</v>
      </c>
      <c r="N712" s="3">
        <f t="shared" si="33"/>
        <v>-1.5108816132590817E-3</v>
      </c>
    </row>
    <row r="713" spans="1:14" x14ac:dyDescent="0.3">
      <c r="A713" s="2">
        <v>44995</v>
      </c>
      <c r="B713" s="3">
        <v>148.5</v>
      </c>
      <c r="C713" s="3">
        <v>22.97</v>
      </c>
      <c r="D713" s="3">
        <v>173.44</v>
      </c>
      <c r="E713" s="3">
        <v>29.07</v>
      </c>
      <c r="F713" s="3">
        <v>29.49</v>
      </c>
      <c r="G713" s="4">
        <v>3861.59</v>
      </c>
      <c r="I713" s="3">
        <f t="shared" si="33"/>
        <v>-1.3975953855973828E-2</v>
      </c>
      <c r="J713" s="3">
        <f t="shared" si="33"/>
        <v>-2.0254948007805033E-2</v>
      </c>
      <c r="K713" s="3">
        <f t="shared" si="33"/>
        <v>3.0026584518504807E-3</v>
      </c>
      <c r="L713" s="3">
        <f t="shared" si="33"/>
        <v>-3.3488669754043861E-2</v>
      </c>
      <c r="M713" s="3">
        <f t="shared" si="33"/>
        <v>-9.1139871377063173E-3</v>
      </c>
      <c r="N713" s="3">
        <f t="shared" si="33"/>
        <v>-1.4583974750190179E-2</v>
      </c>
    </row>
    <row r="714" spans="1:14" x14ac:dyDescent="0.3">
      <c r="A714" s="2">
        <v>44994</v>
      </c>
      <c r="B714" s="3">
        <v>150.59</v>
      </c>
      <c r="C714" s="3">
        <v>23.44</v>
      </c>
      <c r="D714" s="3">
        <v>172.92</v>
      </c>
      <c r="E714" s="3">
        <v>30.06</v>
      </c>
      <c r="F714" s="3">
        <v>29.76</v>
      </c>
      <c r="G714" s="4">
        <v>3918.32</v>
      </c>
      <c r="I714" s="3">
        <f t="shared" si="33"/>
        <v>-1.5026974914214734E-2</v>
      </c>
      <c r="J714" s="3">
        <f t="shared" si="33"/>
        <v>-3.1081880477834702E-2</v>
      </c>
      <c r="K714" s="3">
        <f t="shared" si="33"/>
        <v>-5.117762727736444E-2</v>
      </c>
      <c r="L714" s="3">
        <f t="shared" si="33"/>
        <v>-4.4567466484647822E-2</v>
      </c>
      <c r="M714" s="3">
        <f t="shared" si="33"/>
        <v>-1.699191306873607E-2</v>
      </c>
      <c r="N714" s="3">
        <f t="shared" si="33"/>
        <v>-1.8631872945282475E-2</v>
      </c>
    </row>
    <row r="715" spans="1:14" x14ac:dyDescent="0.3">
      <c r="A715" s="2">
        <v>44993</v>
      </c>
      <c r="B715" s="3">
        <v>152.87</v>
      </c>
      <c r="C715" s="3">
        <v>24.18</v>
      </c>
      <c r="D715" s="3">
        <v>182</v>
      </c>
      <c r="E715" s="3">
        <v>31.43</v>
      </c>
      <c r="F715" s="3">
        <v>30.27</v>
      </c>
      <c r="G715" s="4">
        <v>3992.01</v>
      </c>
      <c r="I715" s="3">
        <f t="shared" si="33"/>
        <v>8.3424138046716313E-3</v>
      </c>
      <c r="J715" s="3">
        <f t="shared" si="33"/>
        <v>3.7501761290396951E-2</v>
      </c>
      <c r="K715" s="3">
        <f t="shared" si="33"/>
        <v>-3.0891531601586478E-2</v>
      </c>
      <c r="L715" s="3">
        <f t="shared" si="33"/>
        <v>-1.0129874529224446E-2</v>
      </c>
      <c r="M715" s="3">
        <f t="shared" si="33"/>
        <v>1.9346834257958894E-2</v>
      </c>
      <c r="N715" s="3">
        <f t="shared" si="33"/>
        <v>1.4138210863556078E-3</v>
      </c>
    </row>
    <row r="716" spans="1:14" x14ac:dyDescent="0.3">
      <c r="A716" s="2">
        <v>44992</v>
      </c>
      <c r="B716" s="3">
        <v>151.6</v>
      </c>
      <c r="C716" s="3">
        <v>23.29</v>
      </c>
      <c r="D716" s="3">
        <v>187.71</v>
      </c>
      <c r="E716" s="3">
        <v>31.75</v>
      </c>
      <c r="F716" s="3">
        <v>29.69</v>
      </c>
      <c r="G716" s="4">
        <v>3986.37</v>
      </c>
      <c r="I716" s="3">
        <f t="shared" si="33"/>
        <v>-1.46026233593885E-2</v>
      </c>
      <c r="J716" s="3">
        <f t="shared" si="33"/>
        <v>-1.1101736566177238E-2</v>
      </c>
      <c r="K716" s="3">
        <f t="shared" si="33"/>
        <v>-3.198007903427439E-2</v>
      </c>
      <c r="L716" s="3">
        <f t="shared" si="33"/>
        <v>-1.6245280725169866E-2</v>
      </c>
      <c r="M716" s="3">
        <f t="shared" si="33"/>
        <v>-2.822701101481782E-2</v>
      </c>
      <c r="N716" s="3">
        <f t="shared" si="33"/>
        <v>-1.5445639173959797E-2</v>
      </c>
    </row>
    <row r="717" spans="1:14" x14ac:dyDescent="0.3">
      <c r="A717" s="2">
        <v>44991</v>
      </c>
      <c r="B717" s="3">
        <v>153.83000000000001</v>
      </c>
      <c r="C717" s="3">
        <v>23.55</v>
      </c>
      <c r="D717" s="3">
        <v>193.81</v>
      </c>
      <c r="E717" s="3">
        <v>32.270000000000003</v>
      </c>
      <c r="F717" s="3">
        <v>30.54</v>
      </c>
      <c r="G717" s="4">
        <v>4048.42</v>
      </c>
      <c r="I717" s="3">
        <f t="shared" si="33"/>
        <v>1.8369603989409514E-2</v>
      </c>
      <c r="J717" s="3">
        <f t="shared" si="33"/>
        <v>-1.4334140875291404E-2</v>
      </c>
      <c r="K717" s="3">
        <f t="shared" si="33"/>
        <v>-2.0327564080661682E-2</v>
      </c>
      <c r="L717" s="3">
        <f t="shared" si="33"/>
        <v>-3.098373378775477E-4</v>
      </c>
      <c r="M717" s="3">
        <f t="shared" si="33"/>
        <v>-1.977694544297574E-2</v>
      </c>
      <c r="N717" s="3">
        <f t="shared" si="33"/>
        <v>6.8692352399550452E-4</v>
      </c>
    </row>
    <row r="718" spans="1:14" x14ac:dyDescent="0.3">
      <c r="A718" s="2">
        <v>44988</v>
      </c>
      <c r="B718" s="3">
        <v>151.03</v>
      </c>
      <c r="C718" s="3">
        <v>23.89</v>
      </c>
      <c r="D718" s="3">
        <v>197.79</v>
      </c>
      <c r="E718" s="3">
        <v>32.28</v>
      </c>
      <c r="F718" s="3">
        <v>31.15</v>
      </c>
      <c r="G718" s="4">
        <v>4045.64</v>
      </c>
      <c r="I718" s="3">
        <f t="shared" si="33"/>
        <v>3.4488499302319141E-2</v>
      </c>
      <c r="J718" s="3">
        <f t="shared" si="33"/>
        <v>2.4577508290052473E-2</v>
      </c>
      <c r="K718" s="3">
        <f t="shared" si="33"/>
        <v>3.5456131061615957E-2</v>
      </c>
      <c r="L718" s="3">
        <f t="shared" si="33"/>
        <v>1.7815754851492026E-2</v>
      </c>
      <c r="M718" s="3">
        <f t="shared" si="33"/>
        <v>-4.1646704436482393E-3</v>
      </c>
      <c r="N718" s="3">
        <f t="shared" si="33"/>
        <v>1.6018800257414187E-2</v>
      </c>
    </row>
    <row r="719" spans="1:14" x14ac:dyDescent="0.3">
      <c r="A719" s="2">
        <v>44987</v>
      </c>
      <c r="B719" s="3">
        <v>145.91</v>
      </c>
      <c r="C719" s="3">
        <v>23.31</v>
      </c>
      <c r="D719" s="3">
        <v>190.9</v>
      </c>
      <c r="E719" s="3">
        <v>31.71</v>
      </c>
      <c r="F719" s="3">
        <v>31.28</v>
      </c>
      <c r="G719" s="4">
        <v>3981.35</v>
      </c>
      <c r="I719" s="3">
        <f t="shared" si="33"/>
        <v>4.1206019433265642E-3</v>
      </c>
      <c r="J719" s="3">
        <f t="shared" si="33"/>
        <v>2.6517528560308694E-2</v>
      </c>
      <c r="K719" s="3">
        <f t="shared" si="33"/>
        <v>-6.0322601048670592E-2</v>
      </c>
      <c r="L719" s="3">
        <f t="shared" si="33"/>
        <v>1.9745864479593495E-2</v>
      </c>
      <c r="M719" s="3">
        <f t="shared" si="33"/>
        <v>1.3518068742095522E-2</v>
      </c>
      <c r="N719" s="3">
        <f t="shared" si="33"/>
        <v>7.5535420169248321E-3</v>
      </c>
    </row>
    <row r="720" spans="1:14" x14ac:dyDescent="0.3">
      <c r="A720" s="2">
        <v>44986</v>
      </c>
      <c r="B720" s="3">
        <v>145.31</v>
      </c>
      <c r="C720" s="3">
        <v>22.7</v>
      </c>
      <c r="D720" s="3">
        <v>202.77</v>
      </c>
      <c r="E720" s="3">
        <v>31.09</v>
      </c>
      <c r="F720" s="3">
        <v>30.86</v>
      </c>
      <c r="G720" s="4">
        <v>3951.39</v>
      </c>
      <c r="I720" s="3">
        <f t="shared" si="33"/>
        <v>-1.4348428726582282E-2</v>
      </c>
      <c r="J720" s="3">
        <f t="shared" si="33"/>
        <v>-2.2649051782388425E-2</v>
      </c>
      <c r="K720" s="3">
        <f t="shared" si="33"/>
        <v>-1.4395078184010264E-2</v>
      </c>
      <c r="L720" s="3">
        <f t="shared" si="33"/>
        <v>1.5886215112327299E-2</v>
      </c>
      <c r="M720" s="3">
        <f t="shared" si="33"/>
        <v>1.2062085934851497E-2</v>
      </c>
      <c r="N720" s="3">
        <f t="shared" si="33"/>
        <v>-4.7364616152703798E-3</v>
      </c>
    </row>
    <row r="721" spans="1:14" x14ac:dyDescent="0.3">
      <c r="A721" s="2">
        <v>44985</v>
      </c>
      <c r="B721" s="3">
        <v>147.41</v>
      </c>
      <c r="C721" s="3">
        <v>23.22</v>
      </c>
      <c r="D721" s="3">
        <v>205.71</v>
      </c>
      <c r="E721" s="3">
        <v>30.6</v>
      </c>
      <c r="F721" s="3">
        <v>30.49</v>
      </c>
      <c r="G721" s="4">
        <v>3970.15</v>
      </c>
      <c r="I721" s="3">
        <f t="shared" si="33"/>
        <v>-3.4537670196825134E-3</v>
      </c>
      <c r="J721" s="3">
        <f t="shared" si="33"/>
        <v>-1.1986444880367923E-2</v>
      </c>
      <c r="K721" s="3">
        <f t="shared" si="33"/>
        <v>-9.2902395574988843E-3</v>
      </c>
      <c r="L721" s="3">
        <f t="shared" si="33"/>
        <v>-1.4276686356682862E-2</v>
      </c>
      <c r="M721" s="3">
        <f t="shared" si="33"/>
        <v>-9.1414283337870744E-3</v>
      </c>
      <c r="N721" s="3">
        <f t="shared" si="33"/>
        <v>-3.0405976856194583E-3</v>
      </c>
    </row>
    <row r="722" spans="1:14" x14ac:dyDescent="0.3">
      <c r="A722" s="2">
        <v>44984</v>
      </c>
      <c r="B722" s="3">
        <v>147.91999999999999</v>
      </c>
      <c r="C722" s="3">
        <v>23.5</v>
      </c>
      <c r="D722" s="3">
        <v>207.63</v>
      </c>
      <c r="E722" s="3">
        <v>31.04</v>
      </c>
      <c r="F722" s="3">
        <v>30.77</v>
      </c>
      <c r="G722" s="4">
        <v>3982.24</v>
      </c>
      <c r="I722" s="3">
        <f t="shared" si="33"/>
        <v>8.2137379273166874E-3</v>
      </c>
      <c r="J722" s="3">
        <f t="shared" si="33"/>
        <v>8.9763372538636463E-3</v>
      </c>
      <c r="K722" s="3">
        <f t="shared" si="33"/>
        <v>5.3163243439081229E-2</v>
      </c>
      <c r="L722" s="3">
        <f t="shared" si="33"/>
        <v>2.1492198147391221E-2</v>
      </c>
      <c r="M722" s="3">
        <f t="shared" si="33"/>
        <v>6.5019508142365721E-4</v>
      </c>
      <c r="N722" s="3">
        <f t="shared" si="33"/>
        <v>3.0683048311681872E-3</v>
      </c>
    </row>
    <row r="723" spans="1:14" x14ac:dyDescent="0.3">
      <c r="A723" s="2">
        <v>44981</v>
      </c>
      <c r="B723" s="3">
        <v>146.71</v>
      </c>
      <c r="C723" s="3">
        <v>23.29</v>
      </c>
      <c r="D723" s="3">
        <v>196.88</v>
      </c>
      <c r="E723" s="3">
        <v>30.38</v>
      </c>
      <c r="F723" s="3">
        <v>30.75</v>
      </c>
      <c r="G723" s="4">
        <v>3970.04</v>
      </c>
      <c r="I723" s="3">
        <f t="shared" si="33"/>
        <v>-1.8169423547164231E-2</v>
      </c>
      <c r="J723" s="3">
        <f t="shared" si="33"/>
        <v>-1.5761774653991156E-2</v>
      </c>
      <c r="K723" s="3">
        <f t="shared" si="33"/>
        <v>-2.6019765942604411E-2</v>
      </c>
      <c r="L723" s="3">
        <f t="shared" si="33"/>
        <v>-2.9580958299908495E-3</v>
      </c>
      <c r="M723" s="3">
        <f t="shared" si="33"/>
        <v>3.2573318703065048E-3</v>
      </c>
      <c r="N723" s="3">
        <f t="shared" ref="N723:N755" si="34">LN(G723/G724)</f>
        <v>-1.0593457421727142E-2</v>
      </c>
    </row>
    <row r="724" spans="1:14" x14ac:dyDescent="0.3">
      <c r="A724" s="2">
        <v>44980</v>
      </c>
      <c r="B724" s="3">
        <v>149.4</v>
      </c>
      <c r="C724" s="3">
        <v>23.66</v>
      </c>
      <c r="D724" s="3">
        <v>202.07</v>
      </c>
      <c r="E724" s="3">
        <v>30.47</v>
      </c>
      <c r="F724" s="3">
        <v>30.65</v>
      </c>
      <c r="G724" s="4">
        <v>4012.32</v>
      </c>
      <c r="I724" s="3">
        <f t="shared" si="33"/>
        <v>3.285176096603322E-3</v>
      </c>
      <c r="J724" s="3">
        <f t="shared" si="33"/>
        <v>0.13123961187353336</v>
      </c>
      <c r="K724" s="3">
        <f t="shared" si="33"/>
        <v>6.0060240602117284E-3</v>
      </c>
      <c r="L724" s="3">
        <f t="shared" si="33"/>
        <v>1.3879932016401121E-2</v>
      </c>
      <c r="M724" s="3">
        <f t="shared" si="33"/>
        <v>2.1768669621302642E-2</v>
      </c>
      <c r="N724" s="3">
        <f t="shared" si="34"/>
        <v>5.3152734602749932E-3</v>
      </c>
    </row>
    <row r="725" spans="1:14" x14ac:dyDescent="0.3">
      <c r="A725" s="2">
        <v>44979</v>
      </c>
      <c r="B725" s="3">
        <v>148.91</v>
      </c>
      <c r="C725" s="3">
        <v>20.75</v>
      </c>
      <c r="D725" s="3">
        <v>200.86</v>
      </c>
      <c r="E725" s="3">
        <v>30.05</v>
      </c>
      <c r="F725" s="3">
        <v>29.99</v>
      </c>
      <c r="G725" s="4">
        <v>3991.05</v>
      </c>
      <c r="I725" s="3">
        <f t="shared" si="33"/>
        <v>2.8918275642232701E-3</v>
      </c>
      <c r="J725" s="3">
        <f t="shared" si="33"/>
        <v>4.3467829852148008E-3</v>
      </c>
      <c r="K725" s="3">
        <f t="shared" si="33"/>
        <v>1.752800819917669E-2</v>
      </c>
      <c r="L725" s="3">
        <f t="shared" si="33"/>
        <v>-2.6586921609931791E-3</v>
      </c>
      <c r="M725" s="3">
        <f t="shared" si="33"/>
        <v>-1.9809165401894466E-2</v>
      </c>
      <c r="N725" s="3">
        <f t="shared" si="34"/>
        <v>-1.5747857327715093E-3</v>
      </c>
    </row>
    <row r="726" spans="1:14" x14ac:dyDescent="0.3">
      <c r="A726" s="2">
        <v>44978</v>
      </c>
      <c r="B726" s="3">
        <v>148.47999999999999</v>
      </c>
      <c r="C726" s="3">
        <v>20.66</v>
      </c>
      <c r="D726" s="3">
        <v>197.37</v>
      </c>
      <c r="E726" s="3">
        <v>30.13</v>
      </c>
      <c r="F726" s="3">
        <v>30.59</v>
      </c>
      <c r="G726" s="4">
        <v>3997.34</v>
      </c>
      <c r="I726" s="3">
        <f t="shared" si="33"/>
        <v>-2.704214212478832E-2</v>
      </c>
      <c r="J726" s="3">
        <f t="shared" si="33"/>
        <v>-3.4724059402821777E-2</v>
      </c>
      <c r="K726" s="3">
        <f t="shared" si="33"/>
        <v>-5.3947215029807226E-2</v>
      </c>
      <c r="L726" s="3">
        <f t="shared" si="33"/>
        <v>-1.515180502060222E-2</v>
      </c>
      <c r="M726" s="3">
        <f t="shared" si="33"/>
        <v>-2.0065398119876027E-2</v>
      </c>
      <c r="N726" s="3">
        <f t="shared" si="34"/>
        <v>-2.0244784414123935E-2</v>
      </c>
    </row>
    <row r="727" spans="1:14" x14ac:dyDescent="0.3">
      <c r="A727" s="2">
        <v>44974</v>
      </c>
      <c r="B727" s="3">
        <v>152.55000000000001</v>
      </c>
      <c r="C727" s="3">
        <v>21.39</v>
      </c>
      <c r="D727" s="3">
        <v>208.31</v>
      </c>
      <c r="E727" s="3">
        <v>30.59</v>
      </c>
      <c r="F727" s="3">
        <v>31.21</v>
      </c>
      <c r="G727" s="4">
        <v>4079.09</v>
      </c>
      <c r="I727" s="3">
        <f t="shared" si="33"/>
        <v>-7.5752990741620625E-3</v>
      </c>
      <c r="J727" s="3">
        <f t="shared" si="33"/>
        <v>-2.8118930264001578E-2</v>
      </c>
      <c r="K727" s="3">
        <f t="shared" si="33"/>
        <v>3.0561657195971752E-2</v>
      </c>
      <c r="L727" s="3">
        <f t="shared" si="33"/>
        <v>-5.3154914534250704E-2</v>
      </c>
      <c r="M727" s="3">
        <f t="shared" si="33"/>
        <v>3.2092453731425432E-3</v>
      </c>
      <c r="N727" s="3">
        <f t="shared" si="34"/>
        <v>-2.7712852059047503E-3</v>
      </c>
    </row>
    <row r="728" spans="1:14" x14ac:dyDescent="0.3">
      <c r="A728" s="2">
        <v>44973</v>
      </c>
      <c r="B728" s="3">
        <v>153.71</v>
      </c>
      <c r="C728" s="3">
        <v>22</v>
      </c>
      <c r="D728" s="3">
        <v>202.04</v>
      </c>
      <c r="E728" s="3">
        <v>32.26</v>
      </c>
      <c r="F728" s="3">
        <v>31.11</v>
      </c>
      <c r="G728" s="4">
        <v>4090.41</v>
      </c>
      <c r="I728" s="3">
        <f t="shared" si="33"/>
        <v>-1.0484175762975069E-2</v>
      </c>
      <c r="J728" s="3">
        <f t="shared" si="33"/>
        <v>-3.3962155899814411E-2</v>
      </c>
      <c r="K728" s="3">
        <f t="shared" si="33"/>
        <v>-5.8631184343010671E-2</v>
      </c>
      <c r="L728" s="3">
        <f t="shared" si="33"/>
        <v>3.4156220134343037E-3</v>
      </c>
      <c r="M728" s="3">
        <f t="shared" si="33"/>
        <v>-1.7840549641002887E-2</v>
      </c>
      <c r="N728" s="3">
        <f t="shared" si="34"/>
        <v>-1.3884644172642286E-2</v>
      </c>
    </row>
    <row r="729" spans="1:14" x14ac:dyDescent="0.3">
      <c r="A729" s="2">
        <v>44972</v>
      </c>
      <c r="B729" s="3">
        <v>155.33000000000001</v>
      </c>
      <c r="C729" s="3">
        <v>22.76</v>
      </c>
      <c r="D729" s="3">
        <v>214.24</v>
      </c>
      <c r="E729" s="3">
        <v>32.15</v>
      </c>
      <c r="F729" s="3">
        <v>31.67</v>
      </c>
      <c r="G729" s="4">
        <v>4147.6000000000004</v>
      </c>
      <c r="I729" s="3">
        <f t="shared" si="33"/>
        <v>1.3807628693325091E-2</v>
      </c>
      <c r="J729" s="3">
        <f t="shared" si="33"/>
        <v>-9.1844074428766437E-3</v>
      </c>
      <c r="K729" s="3">
        <f t="shared" si="33"/>
        <v>2.3567172573277697E-2</v>
      </c>
      <c r="L729" s="3">
        <f t="shared" si="33"/>
        <v>-9.596111402816845E-3</v>
      </c>
      <c r="M729" s="3">
        <f t="shared" si="33"/>
        <v>7.2888929895427038E-3</v>
      </c>
      <c r="N729" s="3">
        <f t="shared" si="34"/>
        <v>2.7692856551893739E-3</v>
      </c>
    </row>
    <row r="730" spans="1:14" x14ac:dyDescent="0.3">
      <c r="A730" s="2">
        <v>44971</v>
      </c>
      <c r="B730" s="3">
        <v>153.19999999999999</v>
      </c>
      <c r="C730" s="3">
        <v>22.97</v>
      </c>
      <c r="D730" s="3">
        <v>209.25</v>
      </c>
      <c r="E730" s="3">
        <v>32.46</v>
      </c>
      <c r="F730" s="3">
        <v>31.44</v>
      </c>
      <c r="G730" s="4">
        <v>4136.13</v>
      </c>
      <c r="I730" s="3">
        <f t="shared" si="33"/>
        <v>-4.2338444615599704E-3</v>
      </c>
      <c r="J730" s="3">
        <f t="shared" si="33"/>
        <v>5.2737867744478334E-2</v>
      </c>
      <c r="K730" s="3">
        <f t="shared" si="33"/>
        <v>7.2378010894317599E-2</v>
      </c>
      <c r="L730" s="3">
        <f t="shared" si="33"/>
        <v>-9.8100112292385192E-3</v>
      </c>
      <c r="M730" s="3">
        <f t="shared" si="33"/>
        <v>-6.0250697565516582E-3</v>
      </c>
      <c r="N730" s="3">
        <f t="shared" si="34"/>
        <v>-2.8041608128225108E-4</v>
      </c>
    </row>
    <row r="731" spans="1:14" x14ac:dyDescent="0.3">
      <c r="A731" s="2">
        <v>44970</v>
      </c>
      <c r="B731" s="3">
        <v>153.85</v>
      </c>
      <c r="C731" s="3">
        <v>21.79</v>
      </c>
      <c r="D731" s="3">
        <v>194.64</v>
      </c>
      <c r="E731" s="3">
        <v>32.78</v>
      </c>
      <c r="F731" s="3">
        <v>31.63</v>
      </c>
      <c r="G731" s="4">
        <v>4137.29</v>
      </c>
      <c r="I731" s="3">
        <f t="shared" si="33"/>
        <v>1.8632041980353162E-2</v>
      </c>
      <c r="J731" s="3">
        <f t="shared" si="33"/>
        <v>2.4623776042726597E-2</v>
      </c>
      <c r="K731" s="3">
        <f t="shared" si="33"/>
        <v>-1.1493498678473935E-2</v>
      </c>
      <c r="L731" s="3">
        <f t="shared" si="33"/>
        <v>-4.2618024931854303E-3</v>
      </c>
      <c r="M731" s="3">
        <f t="shared" si="33"/>
        <v>1.8987347476571719E-3</v>
      </c>
      <c r="N731" s="3">
        <f t="shared" si="34"/>
        <v>1.1383550959928976E-2</v>
      </c>
    </row>
    <row r="732" spans="1:14" x14ac:dyDescent="0.3">
      <c r="A732" s="2">
        <v>44967</v>
      </c>
      <c r="B732" s="3">
        <v>151.01</v>
      </c>
      <c r="C732" s="3">
        <v>21.26</v>
      </c>
      <c r="D732" s="3">
        <v>196.89</v>
      </c>
      <c r="E732" s="3">
        <v>32.92</v>
      </c>
      <c r="F732" s="3">
        <v>31.57</v>
      </c>
      <c r="G732" s="4">
        <v>4090.46</v>
      </c>
      <c r="I732" s="3">
        <f t="shared" si="33"/>
        <v>9.2752093571453324E-4</v>
      </c>
      <c r="J732" s="3">
        <f t="shared" si="33"/>
        <v>-4.9551420727252701E-2</v>
      </c>
      <c r="K732" s="3">
        <f t="shared" si="33"/>
        <v>-5.1618296167764803E-2</v>
      </c>
      <c r="L732" s="3">
        <f t="shared" si="33"/>
        <v>2.2735234244631957E-2</v>
      </c>
      <c r="M732" s="3">
        <f t="shared" si="33"/>
        <v>1.4035318116383583E-2</v>
      </c>
      <c r="N732" s="3">
        <f t="shared" si="34"/>
        <v>2.1928652588764841E-3</v>
      </c>
    </row>
    <row r="733" spans="1:14" x14ac:dyDescent="0.3">
      <c r="A733" s="2">
        <v>44966</v>
      </c>
      <c r="B733" s="3">
        <v>150.87</v>
      </c>
      <c r="C733" s="3">
        <v>22.34</v>
      </c>
      <c r="D733" s="3">
        <v>207.32</v>
      </c>
      <c r="E733" s="3">
        <v>32.18</v>
      </c>
      <c r="F733" s="3">
        <v>31.13</v>
      </c>
      <c r="G733" s="4">
        <v>4081.5</v>
      </c>
      <c r="I733" s="3">
        <f t="shared" si="33"/>
        <v>-6.9355276520472551E-3</v>
      </c>
      <c r="J733" s="3">
        <f t="shared" si="33"/>
        <v>6.2865047628208248E-3</v>
      </c>
      <c r="K733" s="3">
        <f t="shared" si="33"/>
        <v>2.9516839008565374E-2</v>
      </c>
      <c r="L733" s="3">
        <f t="shared" si="33"/>
        <v>-1.204647772390499E-2</v>
      </c>
      <c r="M733" s="3">
        <f t="shared" si="33"/>
        <v>-2.6000196370027026E-2</v>
      </c>
      <c r="N733" s="3">
        <f t="shared" si="34"/>
        <v>-8.869043032445954E-3</v>
      </c>
    </row>
    <row r="734" spans="1:14" x14ac:dyDescent="0.3">
      <c r="A734" s="2">
        <v>44965</v>
      </c>
      <c r="B734" s="3">
        <v>151.91999999999999</v>
      </c>
      <c r="C734" s="3">
        <v>22.2</v>
      </c>
      <c r="D734" s="3">
        <v>201.29</v>
      </c>
      <c r="E734" s="3">
        <v>32.57</v>
      </c>
      <c r="F734" s="3">
        <v>31.95</v>
      </c>
      <c r="G734" s="4">
        <v>4117.8599999999997</v>
      </c>
      <c r="I734" s="3">
        <f t="shared" si="33"/>
        <v>-1.7810432627048289E-2</v>
      </c>
      <c r="J734" s="3">
        <f t="shared" si="33"/>
        <v>1.3522652500135325E-3</v>
      </c>
      <c r="K734" s="3">
        <f t="shared" si="33"/>
        <v>2.2507857977594494E-2</v>
      </c>
      <c r="L734" s="3">
        <f t="shared" si="33"/>
        <v>1.5363346085320935E-3</v>
      </c>
      <c r="M734" s="3">
        <f t="shared" si="33"/>
        <v>-1.0585403946640084E-2</v>
      </c>
      <c r="N734" s="3">
        <f t="shared" si="34"/>
        <v>-1.1142539811002886E-2</v>
      </c>
    </row>
    <row r="735" spans="1:14" x14ac:dyDescent="0.3">
      <c r="A735" s="2">
        <v>44964</v>
      </c>
      <c r="B735" s="3">
        <v>154.65</v>
      </c>
      <c r="C735" s="3">
        <v>22.17</v>
      </c>
      <c r="D735" s="3">
        <v>196.81</v>
      </c>
      <c r="E735" s="3">
        <v>32.520000000000003</v>
      </c>
      <c r="F735" s="3">
        <v>32.29</v>
      </c>
      <c r="G735" s="4">
        <v>4164</v>
      </c>
      <c r="I735" s="3">
        <f t="shared" si="33"/>
        <v>1.9061873593928951E-2</v>
      </c>
      <c r="J735" s="3">
        <f t="shared" si="33"/>
        <v>4.9941029137536862E-2</v>
      </c>
      <c r="K735" s="3">
        <f t="shared" si="33"/>
        <v>1.0470765020845787E-2</v>
      </c>
      <c r="L735" s="3">
        <f t="shared" si="33"/>
        <v>2.6801230226743866E-2</v>
      </c>
      <c r="M735" s="3">
        <f t="shared" si="33"/>
        <v>7.4604014035048998E-3</v>
      </c>
      <c r="N735" s="3">
        <f t="shared" si="34"/>
        <v>1.2790383040919152E-2</v>
      </c>
    </row>
    <row r="736" spans="1:14" x14ac:dyDescent="0.3">
      <c r="A736" s="2">
        <v>44963</v>
      </c>
      <c r="B736" s="3">
        <v>151.72999999999999</v>
      </c>
      <c r="C736" s="3">
        <v>21.09</v>
      </c>
      <c r="D736" s="3">
        <v>194.76</v>
      </c>
      <c r="E736" s="3">
        <v>31.66</v>
      </c>
      <c r="F736" s="3">
        <v>32.049999999999997</v>
      </c>
      <c r="G736" s="4">
        <v>4111.08</v>
      </c>
      <c r="I736" s="3">
        <f t="shared" si="33"/>
        <v>-1.8091470800650468E-2</v>
      </c>
      <c r="J736" s="3">
        <f t="shared" si="33"/>
        <v>-4.7404599133764444E-4</v>
      </c>
      <c r="K736" s="3">
        <f t="shared" si="33"/>
        <v>2.4849227852463712E-2</v>
      </c>
      <c r="L736" s="3">
        <f t="shared" si="33"/>
        <v>9.2020322502792771E-3</v>
      </c>
      <c r="M736" s="3">
        <f t="shared" si="33"/>
        <v>-6.8408226971915908E-3</v>
      </c>
      <c r="N736" s="3">
        <f t="shared" si="34"/>
        <v>-6.1594169191690872E-3</v>
      </c>
    </row>
    <row r="737" spans="1:14" x14ac:dyDescent="0.3">
      <c r="A737" s="2">
        <v>44960</v>
      </c>
      <c r="B737" s="3">
        <v>154.5</v>
      </c>
      <c r="C737" s="3">
        <v>21.1</v>
      </c>
      <c r="D737" s="3">
        <v>189.98</v>
      </c>
      <c r="E737" s="3">
        <v>31.37</v>
      </c>
      <c r="F737" s="3">
        <v>32.270000000000003</v>
      </c>
      <c r="G737" s="4">
        <v>4136.4799999999996</v>
      </c>
      <c r="I737" s="3">
        <f t="shared" si="33"/>
        <v>2.4107023563299301E-2</v>
      </c>
      <c r="J737" s="3">
        <f t="shared" si="33"/>
        <v>-2.8499943408179681E-2</v>
      </c>
      <c r="K737" s="3">
        <f t="shared" si="33"/>
        <v>9.0417007254158539E-3</v>
      </c>
      <c r="L737" s="3">
        <f t="shared" si="33"/>
        <v>-6.3734865127543987E-4</v>
      </c>
      <c r="M737" s="3">
        <f t="shared" si="33"/>
        <v>-1.1400524032035708E-2</v>
      </c>
      <c r="N737" s="3">
        <f t="shared" si="34"/>
        <v>-1.0408643989373002E-2</v>
      </c>
    </row>
    <row r="738" spans="1:14" x14ac:dyDescent="0.3">
      <c r="A738" s="2">
        <v>44959</v>
      </c>
      <c r="B738" s="3">
        <v>150.82</v>
      </c>
      <c r="C738" s="3">
        <v>21.71</v>
      </c>
      <c r="D738" s="3">
        <v>188.27</v>
      </c>
      <c r="E738" s="3">
        <v>31.39</v>
      </c>
      <c r="F738" s="3">
        <v>32.64</v>
      </c>
      <c r="G738" s="4">
        <v>4179.76</v>
      </c>
      <c r="I738" s="3">
        <f t="shared" si="33"/>
        <v>3.6392201584881996E-2</v>
      </c>
      <c r="J738" s="3">
        <f t="shared" si="33"/>
        <v>3.6111778447809641E-2</v>
      </c>
      <c r="K738" s="3">
        <f t="shared" si="33"/>
        <v>3.7117439783389342E-2</v>
      </c>
      <c r="L738" s="3">
        <f t="shared" si="33"/>
        <v>-1.8933983107564358E-2</v>
      </c>
      <c r="M738" s="3">
        <f t="shared" si="33"/>
        <v>3.2697915281912515E-2</v>
      </c>
      <c r="N738" s="3">
        <f t="shared" si="34"/>
        <v>1.4592431217642185E-2</v>
      </c>
    </row>
    <row r="739" spans="1:14" x14ac:dyDescent="0.3">
      <c r="A739" s="2">
        <v>44958</v>
      </c>
      <c r="B739" s="3">
        <v>145.43</v>
      </c>
      <c r="C739" s="3">
        <v>20.94</v>
      </c>
      <c r="D739" s="3">
        <v>181.41</v>
      </c>
      <c r="E739" s="3">
        <v>31.99</v>
      </c>
      <c r="F739" s="3">
        <v>31.59</v>
      </c>
      <c r="G739" s="4">
        <v>4119.21</v>
      </c>
      <c r="I739" s="3">
        <f t="shared" si="33"/>
        <v>7.8697078804544941E-3</v>
      </c>
      <c r="J739" s="3">
        <f t="shared" si="33"/>
        <v>6.9197558827754302E-2</v>
      </c>
      <c r="K739" s="3">
        <f t="shared" si="33"/>
        <v>4.6197200050332489E-2</v>
      </c>
      <c r="L739" s="3">
        <f t="shared" si="33"/>
        <v>7.8456388631635132E-3</v>
      </c>
      <c r="M739" s="3">
        <f t="shared" si="33"/>
        <v>2.1437391094772461E-2</v>
      </c>
      <c r="N739" s="3">
        <f t="shared" si="34"/>
        <v>1.0398089735210484E-2</v>
      </c>
    </row>
    <row r="740" spans="1:14" x14ac:dyDescent="0.3">
      <c r="A740" s="2">
        <v>44957</v>
      </c>
      <c r="B740" s="3">
        <v>144.29</v>
      </c>
      <c r="C740" s="3">
        <v>19.54</v>
      </c>
      <c r="D740" s="3">
        <v>173.22</v>
      </c>
      <c r="E740" s="3">
        <v>31.74</v>
      </c>
      <c r="F740" s="3">
        <v>30.92</v>
      </c>
      <c r="G740" s="4">
        <v>4076.6</v>
      </c>
      <c r="I740" s="3">
        <f t="shared" si="33"/>
        <v>8.9805330492570522E-3</v>
      </c>
      <c r="J740" s="3">
        <f t="shared" si="33"/>
        <v>1.9638874071922042E-2</v>
      </c>
      <c r="K740" s="3">
        <f t="shared" si="33"/>
        <v>3.8606653948837992E-2</v>
      </c>
      <c r="L740" s="3">
        <f t="shared" si="33"/>
        <v>2.2945557349870322E-2</v>
      </c>
      <c r="M740" s="3">
        <f t="shared" si="33"/>
        <v>3.4213863454604643E-2</v>
      </c>
      <c r="N740" s="3">
        <f t="shared" si="34"/>
        <v>1.4536285322318165E-2</v>
      </c>
    </row>
    <row r="741" spans="1:14" x14ac:dyDescent="0.3">
      <c r="A741" s="2">
        <v>44956</v>
      </c>
      <c r="B741" s="3">
        <v>143</v>
      </c>
      <c r="C741" s="3">
        <v>19.16</v>
      </c>
      <c r="D741" s="3">
        <v>166.66</v>
      </c>
      <c r="E741" s="3">
        <v>31.02</v>
      </c>
      <c r="F741" s="3">
        <v>29.88</v>
      </c>
      <c r="G741" s="4">
        <v>4017.77</v>
      </c>
      <c r="I741" s="3">
        <f t="shared" si="33"/>
        <v>-2.0282424419747112E-2</v>
      </c>
      <c r="J741" s="3">
        <f t="shared" si="33"/>
        <v>-6.0747419139607448E-2</v>
      </c>
      <c r="K741" s="3">
        <f t="shared" si="33"/>
        <v>-6.5265785717728814E-2</v>
      </c>
      <c r="L741" s="3">
        <f t="shared" si="33"/>
        <v>-8.9859397977148422E-3</v>
      </c>
      <c r="M741" s="3">
        <f t="shared" si="33"/>
        <v>-6.6711388170225348E-3</v>
      </c>
      <c r="N741" s="3">
        <f t="shared" si="34"/>
        <v>-1.3053559781991077E-2</v>
      </c>
    </row>
    <row r="742" spans="1:14" x14ac:dyDescent="0.3">
      <c r="A742" s="2">
        <v>44953</v>
      </c>
      <c r="B742" s="3">
        <v>145.93</v>
      </c>
      <c r="C742" s="3">
        <v>20.36</v>
      </c>
      <c r="D742" s="3">
        <v>177.9</v>
      </c>
      <c r="E742" s="3">
        <v>31.3</v>
      </c>
      <c r="F742" s="3">
        <v>30.08</v>
      </c>
      <c r="G742" s="4">
        <v>4070.56</v>
      </c>
      <c r="I742" s="3">
        <f t="shared" si="33"/>
        <v>1.3591571468824453E-2</v>
      </c>
      <c r="J742" s="3">
        <f t="shared" si="33"/>
        <v>2.7890253981832404E-2</v>
      </c>
      <c r="K742" s="3">
        <f t="shared" si="33"/>
        <v>0.10436170166630546</v>
      </c>
      <c r="L742" s="3">
        <f t="shared" si="33"/>
        <v>-1.5848192240023616E-2</v>
      </c>
      <c r="M742" s="3">
        <f t="shared" si="33"/>
        <v>-2.3244240915553855E-3</v>
      </c>
      <c r="N742" s="3">
        <f t="shared" si="34"/>
        <v>2.4917027916841637E-3</v>
      </c>
    </row>
    <row r="743" spans="1:14" x14ac:dyDescent="0.3">
      <c r="A743" s="2">
        <v>44952</v>
      </c>
      <c r="B743" s="3">
        <v>143.96</v>
      </c>
      <c r="C743" s="3">
        <v>19.8</v>
      </c>
      <c r="D743" s="3">
        <v>160.27000000000001</v>
      </c>
      <c r="E743" s="3">
        <v>31.8</v>
      </c>
      <c r="F743" s="3">
        <v>30.15</v>
      </c>
      <c r="G743" s="4">
        <v>4060.43</v>
      </c>
      <c r="I743" s="3">
        <f t="shared" si="33"/>
        <v>1.469482743688913E-2</v>
      </c>
      <c r="J743" s="3">
        <f t="shared" si="33"/>
        <v>2.454110891611766E-2</v>
      </c>
      <c r="K743" s="3">
        <f t="shared" si="33"/>
        <v>0.1040649318924087</v>
      </c>
      <c r="L743" s="3">
        <f t="shared" si="33"/>
        <v>2.5479085300984968E-2</v>
      </c>
      <c r="M743" s="3">
        <f t="shared" si="33"/>
        <v>-2.9413885206293341E-2</v>
      </c>
      <c r="N743" s="3">
        <f t="shared" si="34"/>
        <v>1.0947717569977039E-2</v>
      </c>
    </row>
    <row r="744" spans="1:14" x14ac:dyDescent="0.3">
      <c r="A744" s="2">
        <v>44951</v>
      </c>
      <c r="B744" s="3">
        <v>141.86000000000001</v>
      </c>
      <c r="C744" s="3">
        <v>19.32</v>
      </c>
      <c r="D744" s="3">
        <v>144.43</v>
      </c>
      <c r="E744" s="3">
        <v>31</v>
      </c>
      <c r="F744" s="3">
        <v>31.05</v>
      </c>
      <c r="G744" s="4">
        <v>4016.22</v>
      </c>
      <c r="I744" s="3">
        <f t="shared" si="33"/>
        <v>-4.7118480929988632E-3</v>
      </c>
      <c r="J744" s="3">
        <f t="shared" si="33"/>
        <v>3.1104224143923302E-3</v>
      </c>
      <c r="K744" s="3">
        <f t="shared" si="33"/>
        <v>3.7458423377492245E-3</v>
      </c>
      <c r="L744" s="3">
        <f t="shared" si="33"/>
        <v>2.7802281311951779E-2</v>
      </c>
      <c r="M744" s="3">
        <f t="shared" si="33"/>
        <v>-2.5752496102414625E-2</v>
      </c>
      <c r="N744" s="3">
        <f t="shared" si="34"/>
        <v>-1.8174643434897735E-4</v>
      </c>
    </row>
    <row r="745" spans="1:14" x14ac:dyDescent="0.3">
      <c r="A745" s="2">
        <v>44950</v>
      </c>
      <c r="B745" s="3">
        <v>142.53</v>
      </c>
      <c r="C745" s="3">
        <v>19.260000000000002</v>
      </c>
      <c r="D745" s="3">
        <v>143.88999999999999</v>
      </c>
      <c r="E745" s="3">
        <v>30.15</v>
      </c>
      <c r="F745" s="3">
        <v>31.86</v>
      </c>
      <c r="G745" s="4">
        <v>4016.95</v>
      </c>
      <c r="I745" s="3">
        <f t="shared" si="33"/>
        <v>1.0012775797270213E-2</v>
      </c>
      <c r="J745" s="3">
        <f t="shared" si="33"/>
        <v>3.6410963503709461E-3</v>
      </c>
      <c r="K745" s="3">
        <f t="shared" si="33"/>
        <v>9.7343909786638827E-4</v>
      </c>
      <c r="L745" s="3">
        <f t="shared" si="33"/>
        <v>-1.4488234989617672E-2</v>
      </c>
      <c r="M745" s="3">
        <f t="shared" si="33"/>
        <v>-5.9458788847764924E-3</v>
      </c>
      <c r="N745" s="3">
        <f t="shared" si="34"/>
        <v>-7.1172963252109358E-4</v>
      </c>
    </row>
    <row r="746" spans="1:14" x14ac:dyDescent="0.3">
      <c r="A746" s="2">
        <v>44949</v>
      </c>
      <c r="B746" s="3">
        <v>141.11000000000001</v>
      </c>
      <c r="C746" s="3">
        <v>19.190000000000001</v>
      </c>
      <c r="D746" s="3">
        <v>143.75</v>
      </c>
      <c r="E746" s="3">
        <v>30.59</v>
      </c>
      <c r="F746" s="3">
        <v>32.049999999999997</v>
      </c>
      <c r="G746" s="4">
        <v>4019.81</v>
      </c>
      <c r="I746" s="3">
        <f t="shared" si="33"/>
        <v>2.3228515886131697E-2</v>
      </c>
      <c r="J746" s="3">
        <f t="shared" si="33"/>
        <v>7.2946182867745304E-2</v>
      </c>
      <c r="K746" s="3">
        <f t="shared" si="33"/>
        <v>7.4573632396090578E-2</v>
      </c>
      <c r="L746" s="3">
        <f t="shared" si="33"/>
        <v>-1.5569565242143944E-2</v>
      </c>
      <c r="M746" s="3">
        <f t="shared" si="33"/>
        <v>1.2488293849074129E-3</v>
      </c>
      <c r="N746" s="3">
        <f t="shared" si="34"/>
        <v>1.1811328415709267E-2</v>
      </c>
    </row>
    <row r="747" spans="1:14" x14ac:dyDescent="0.3">
      <c r="A747" s="2">
        <v>44946</v>
      </c>
      <c r="B747" s="3">
        <v>137.87</v>
      </c>
      <c r="C747" s="3">
        <v>17.84</v>
      </c>
      <c r="D747" s="3">
        <v>133.41999999999999</v>
      </c>
      <c r="E747" s="3">
        <v>31.07</v>
      </c>
      <c r="F747" s="3">
        <v>32.01</v>
      </c>
      <c r="G747" s="4">
        <v>3972.61</v>
      </c>
      <c r="I747" s="3">
        <f t="shared" si="33"/>
        <v>1.9038431082435071E-2</v>
      </c>
      <c r="J747" s="3">
        <f t="shared" si="33"/>
        <v>6.2448032097926237E-2</v>
      </c>
      <c r="K747" s="3">
        <f t="shared" si="33"/>
        <v>4.7977273248713807E-2</v>
      </c>
      <c r="L747" s="3">
        <f t="shared" si="33"/>
        <v>1.8843962404792663E-2</v>
      </c>
      <c r="M747" s="3">
        <f t="shared" si="33"/>
        <v>1.4474764994549423E-2</v>
      </c>
      <c r="N747" s="3">
        <f t="shared" si="34"/>
        <v>1.8741671559172491E-2</v>
      </c>
    </row>
    <row r="748" spans="1:14" x14ac:dyDescent="0.3">
      <c r="A748" s="2">
        <v>44945</v>
      </c>
      <c r="B748" s="3">
        <v>135.27000000000001</v>
      </c>
      <c r="C748" s="3">
        <v>16.760000000000002</v>
      </c>
      <c r="D748" s="3">
        <v>127.17</v>
      </c>
      <c r="E748" s="3">
        <v>30.49</v>
      </c>
      <c r="F748" s="3">
        <v>31.55</v>
      </c>
      <c r="G748" s="4">
        <v>3898.85</v>
      </c>
      <c r="I748" s="3">
        <f t="shared" si="33"/>
        <v>4.4365573043603028E-4</v>
      </c>
      <c r="J748" s="3">
        <f t="shared" si="33"/>
        <v>-3.632502478330886E-2</v>
      </c>
      <c r="K748" s="3">
        <f t="shared" si="33"/>
        <v>-1.2580748077381998E-2</v>
      </c>
      <c r="L748" s="3">
        <f t="shared" si="33"/>
        <v>-6.5381076314815351E-3</v>
      </c>
      <c r="M748" s="3">
        <f t="shared" si="33"/>
        <v>-2.1324106840124236E-2</v>
      </c>
      <c r="N748" s="3">
        <f t="shared" si="34"/>
        <v>-7.6676696075208299E-3</v>
      </c>
    </row>
    <row r="749" spans="1:14" x14ac:dyDescent="0.3">
      <c r="A749" s="2">
        <v>44944</v>
      </c>
      <c r="B749" s="3">
        <v>135.21</v>
      </c>
      <c r="C749" s="3">
        <v>17.38</v>
      </c>
      <c r="D749" s="3">
        <v>128.78</v>
      </c>
      <c r="E749" s="3">
        <v>30.69</v>
      </c>
      <c r="F749" s="3">
        <v>32.229999999999997</v>
      </c>
      <c r="G749" s="4">
        <v>3928.86</v>
      </c>
      <c r="I749" s="3">
        <f t="shared" si="33"/>
        <v>-5.3844865478254698E-3</v>
      </c>
      <c r="J749" s="3">
        <f t="shared" si="33"/>
        <v>-1.8244519742537491E-2</v>
      </c>
      <c r="K749" s="3">
        <f t="shared" si="33"/>
        <v>-2.0825280988790086E-2</v>
      </c>
      <c r="L749" s="3">
        <f t="shared" si="33"/>
        <v>-2.5415554917557603E-2</v>
      </c>
      <c r="M749" s="3">
        <f t="shared" si="33"/>
        <v>-1.1414592545315636E-2</v>
      </c>
      <c r="N749" s="3">
        <f t="shared" si="34"/>
        <v>-1.5685001660276407E-2</v>
      </c>
    </row>
    <row r="750" spans="1:14" x14ac:dyDescent="0.3">
      <c r="A750" s="2">
        <v>44943</v>
      </c>
      <c r="B750" s="3">
        <v>135.94</v>
      </c>
      <c r="C750" s="3">
        <v>17.7</v>
      </c>
      <c r="D750" s="3">
        <v>131.49</v>
      </c>
      <c r="E750" s="3">
        <v>31.48</v>
      </c>
      <c r="F750" s="3">
        <v>32.6</v>
      </c>
      <c r="G750" s="4">
        <v>3990.97</v>
      </c>
      <c r="I750" s="3">
        <f t="shared" si="33"/>
        <v>8.718193380140099E-3</v>
      </c>
      <c r="J750" s="3">
        <f t="shared" si="33"/>
        <v>4.6251017650755691E-2</v>
      </c>
      <c r="K750" s="3">
        <f t="shared" si="33"/>
        <v>7.1636433020601756E-2</v>
      </c>
      <c r="L750" s="3">
        <f t="shared" si="33"/>
        <v>-4.7536137683549919E-3</v>
      </c>
      <c r="M750" s="3">
        <f t="shared" si="33"/>
        <v>5.5367720651318926E-3</v>
      </c>
      <c r="N750" s="3">
        <f t="shared" si="34"/>
        <v>-2.0325261125498277E-3</v>
      </c>
    </row>
    <row r="751" spans="1:14" x14ac:dyDescent="0.3">
      <c r="A751" s="2">
        <v>44939</v>
      </c>
      <c r="B751" s="3">
        <v>134.76</v>
      </c>
      <c r="C751" s="3">
        <v>16.899999999999999</v>
      </c>
      <c r="D751" s="3">
        <v>122.4</v>
      </c>
      <c r="E751" s="3">
        <v>31.63</v>
      </c>
      <c r="F751" s="3">
        <v>32.42</v>
      </c>
      <c r="G751" s="4">
        <v>3999.09</v>
      </c>
      <c r="I751" s="3">
        <f t="shared" si="33"/>
        <v>1.0068325347637248E-2</v>
      </c>
      <c r="J751" s="3">
        <f t="shared" si="33"/>
        <v>2.3347363996990889E-2</v>
      </c>
      <c r="K751" s="3">
        <f t="shared" si="33"/>
        <v>-9.4324979721552727E-3</v>
      </c>
      <c r="L751" s="3">
        <f t="shared" si="33"/>
        <v>4.1184914859701679E-3</v>
      </c>
      <c r="M751" s="3">
        <f t="shared" si="33"/>
        <v>-2.1568333734788702E-3</v>
      </c>
      <c r="N751" s="3">
        <f t="shared" si="34"/>
        <v>3.988850553225138E-3</v>
      </c>
    </row>
    <row r="752" spans="1:14" x14ac:dyDescent="0.3">
      <c r="A752" s="2">
        <v>44938</v>
      </c>
      <c r="B752" s="3">
        <v>133.41</v>
      </c>
      <c r="C752" s="3">
        <v>16.510000000000002</v>
      </c>
      <c r="D752" s="3">
        <v>123.56</v>
      </c>
      <c r="E752" s="3">
        <v>31.5</v>
      </c>
      <c r="F752" s="3">
        <v>32.49</v>
      </c>
      <c r="G752" s="4">
        <v>3983.17</v>
      </c>
      <c r="I752" s="3">
        <f t="shared" si="33"/>
        <v>-5.994754769263538E-4</v>
      </c>
      <c r="J752" s="3">
        <f t="shared" si="33"/>
        <v>3.1377535692255501E-2</v>
      </c>
      <c r="K752" s="3">
        <f t="shared" si="33"/>
        <v>2.7554924639563365E-3</v>
      </c>
      <c r="L752" s="3">
        <f t="shared" si="33"/>
        <v>2.1499303933528419E-2</v>
      </c>
      <c r="M752" s="3">
        <f t="shared" si="33"/>
        <v>1.2319065309098738E-3</v>
      </c>
      <c r="N752" s="3">
        <f t="shared" si="34"/>
        <v>3.4101315868827887E-3</v>
      </c>
    </row>
    <row r="753" spans="1:14" x14ac:dyDescent="0.3">
      <c r="A753" s="2">
        <v>44937</v>
      </c>
      <c r="B753" s="3">
        <v>133.49</v>
      </c>
      <c r="C753" s="3">
        <v>16</v>
      </c>
      <c r="D753" s="3">
        <v>123.22</v>
      </c>
      <c r="E753" s="3">
        <v>30.83</v>
      </c>
      <c r="F753" s="3">
        <v>32.450000000000003</v>
      </c>
      <c r="G753" s="4">
        <v>3969.61</v>
      </c>
      <c r="I753" s="3">
        <f t="shared" si="33"/>
        <v>2.0892441093872414E-2</v>
      </c>
      <c r="J753" s="3">
        <f t="shared" si="33"/>
        <v>5.6408798900857062E-3</v>
      </c>
      <c r="K753" s="3">
        <f t="shared" si="33"/>
        <v>3.6109181780221815E-2</v>
      </c>
      <c r="L753" s="3">
        <f t="shared" si="33"/>
        <v>-1.2965966160090577E-3</v>
      </c>
      <c r="M753" s="3">
        <f t="shared" si="33"/>
        <v>1.5420203518154184E-3</v>
      </c>
      <c r="N753" s="3">
        <f t="shared" si="34"/>
        <v>1.2767544131228952E-2</v>
      </c>
    </row>
    <row r="754" spans="1:14" x14ac:dyDescent="0.3">
      <c r="A754" s="2">
        <v>44936</v>
      </c>
      <c r="B754" s="3">
        <v>130.72999999999999</v>
      </c>
      <c r="C754" s="3">
        <v>15.91</v>
      </c>
      <c r="D754" s="3">
        <v>118.85</v>
      </c>
      <c r="E754" s="3">
        <v>30.87</v>
      </c>
      <c r="F754" s="3">
        <v>32.4</v>
      </c>
      <c r="G754" s="4">
        <v>3919.25</v>
      </c>
      <c r="I754" s="3">
        <f t="shared" si="33"/>
        <v>4.4464961331942832E-3</v>
      </c>
      <c r="J754" s="3">
        <f t="shared" si="33"/>
        <v>1.775569791631031E-2</v>
      </c>
      <c r="K754" s="3">
        <f t="shared" si="33"/>
        <v>-7.7110431532124999E-3</v>
      </c>
      <c r="L754" s="3">
        <f t="shared" si="33"/>
        <v>1.0747538723581534E-2</v>
      </c>
      <c r="M754" s="3">
        <f t="shared" si="33"/>
        <v>8.0570624889171709E-3</v>
      </c>
      <c r="N754" s="3">
        <f t="shared" si="34"/>
        <v>6.9540205524518915E-3</v>
      </c>
    </row>
    <row r="755" spans="1:14" x14ac:dyDescent="0.3">
      <c r="A755" s="2">
        <v>44935</v>
      </c>
      <c r="B755" s="3">
        <v>130.15</v>
      </c>
      <c r="C755" s="3">
        <v>15.63</v>
      </c>
      <c r="D755" s="3">
        <v>119.77</v>
      </c>
      <c r="E755" s="3">
        <v>30.54</v>
      </c>
      <c r="F755" s="3">
        <v>32.14</v>
      </c>
      <c r="G755" s="4">
        <v>3892.09</v>
      </c>
      <c r="I755" s="3" t="e">
        <f t="shared" si="33"/>
        <v>#DIV/0!</v>
      </c>
      <c r="J755" s="3" t="e">
        <f t="shared" si="33"/>
        <v>#DIV/0!</v>
      </c>
      <c r="K755" s="3" t="e">
        <f t="shared" si="33"/>
        <v>#DIV/0!</v>
      </c>
      <c r="L755" s="3" t="e">
        <f t="shared" si="33"/>
        <v>#DIV/0!</v>
      </c>
      <c r="M755" s="3" t="e">
        <f t="shared" si="33"/>
        <v>#DIV/0!</v>
      </c>
      <c r="N755" s="3" t="e">
        <f t="shared" si="34"/>
        <v>#DIV/0!</v>
      </c>
    </row>
  </sheetData>
  <mergeCells count="22">
    <mergeCell ref="A1:G1"/>
    <mergeCell ref="I1:N1"/>
    <mergeCell ref="P1:V1"/>
    <mergeCell ref="P9:V9"/>
    <mergeCell ref="AF2:AG2"/>
    <mergeCell ref="X1:AC1"/>
    <mergeCell ref="X15:AD15"/>
    <mergeCell ref="AA7:AB7"/>
    <mergeCell ref="AA21:AB21"/>
    <mergeCell ref="AO19:AP19"/>
    <mergeCell ref="AJ1:AO1"/>
    <mergeCell ref="AJ2:AP2"/>
    <mergeCell ref="AO14:AP14"/>
    <mergeCell ref="AO15:AP15"/>
    <mergeCell ref="AO17:AP17"/>
    <mergeCell ref="AO16:AP16"/>
    <mergeCell ref="AO18:AP18"/>
    <mergeCell ref="X43:AD43"/>
    <mergeCell ref="P41:AE41"/>
    <mergeCell ref="X28:AD28"/>
    <mergeCell ref="P18:V18"/>
    <mergeCell ref="P28:U28"/>
  </mergeCells>
  <conditionalFormatting sqref="U39">
    <cfRule type="colorScale" priority="3">
      <colorScale>
        <cfvo type="min"/>
        <cfvo type="percentile" val="0"/>
        <cfvo type="max"/>
        <color theme="8" tint="-0.249977111117893"/>
        <color theme="0"/>
        <color rgb="FFFF0000"/>
      </colorScale>
    </cfRule>
  </conditionalFormatting>
  <conditionalFormatting sqref="AE13">
    <cfRule type="colorScale" priority="7">
      <colorScale>
        <cfvo type="min"/>
        <cfvo type="max"/>
        <color theme="8" tint="0.39997558519241921"/>
        <color rgb="FFEF5357"/>
      </colorScale>
    </cfRule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D8AD3-973D-4C8F-9253-F70B996CE2DB}">
  <dimension ref="A1:S25"/>
  <sheetViews>
    <sheetView zoomScale="98" workbookViewId="0">
      <selection activeCell="C12" sqref="C12"/>
    </sheetView>
  </sheetViews>
  <sheetFormatPr defaultRowHeight="14.4" x14ac:dyDescent="0.3"/>
  <cols>
    <col min="2" max="2" width="13.33203125" bestFit="1" customWidth="1"/>
    <col min="3" max="3" width="14.33203125" bestFit="1" customWidth="1"/>
  </cols>
  <sheetData>
    <row r="1" spans="1:19" x14ac:dyDescent="0.3">
      <c r="A1" s="6" t="s">
        <v>24</v>
      </c>
      <c r="B1" s="6" t="s">
        <v>9</v>
      </c>
      <c r="C1" s="6" t="s">
        <v>11</v>
      </c>
    </row>
    <row r="2" spans="1:19" x14ac:dyDescent="0.3">
      <c r="A2" s="6" t="s">
        <v>3</v>
      </c>
      <c r="B2" s="8">
        <v>0.23065200045101711</v>
      </c>
      <c r="C2" s="8">
        <v>0.25368540296352809</v>
      </c>
      <c r="D2" s="22"/>
      <c r="E2" s="22"/>
      <c r="F2" s="22"/>
      <c r="G2" s="22"/>
      <c r="H2" s="22"/>
      <c r="I2" s="22"/>
      <c r="O2" s="22"/>
      <c r="P2" s="22"/>
      <c r="Q2" s="22"/>
      <c r="R2" s="22"/>
      <c r="S2" s="22"/>
    </row>
    <row r="3" spans="1:19" x14ac:dyDescent="0.3">
      <c r="A3" s="6" t="s">
        <v>4</v>
      </c>
      <c r="B3" s="8">
        <v>0.82817517037158217</v>
      </c>
      <c r="C3" s="8">
        <v>0.49416983045984025</v>
      </c>
    </row>
    <row r="4" spans="1:19" x14ac:dyDescent="0.3">
      <c r="A4" s="6" t="s">
        <v>5</v>
      </c>
      <c r="B4" s="8">
        <v>0.4328268174985081</v>
      </c>
      <c r="C4" s="8">
        <v>0.59409030677985442</v>
      </c>
      <c r="O4" s="22"/>
      <c r="P4" s="22"/>
      <c r="Q4" s="22"/>
      <c r="R4" s="22"/>
      <c r="S4" s="22"/>
    </row>
    <row r="5" spans="1:19" x14ac:dyDescent="0.3">
      <c r="A5" s="6" t="s">
        <v>27</v>
      </c>
      <c r="B5" s="8">
        <v>0.16654040848485943</v>
      </c>
      <c r="C5" s="8">
        <v>0.30364131415291995</v>
      </c>
    </row>
    <row r="6" spans="1:19" x14ac:dyDescent="0.3">
      <c r="A6" s="6" t="s">
        <v>28</v>
      </c>
      <c r="B6" s="8">
        <v>3.1616622190759447E-2</v>
      </c>
      <c r="C6" s="8">
        <v>0.21766415401448752</v>
      </c>
    </row>
    <row r="7" spans="1:19" x14ac:dyDescent="0.3">
      <c r="B7" s="22"/>
    </row>
    <row r="18" spans="1:16" ht="15.6" x14ac:dyDescent="0.3">
      <c r="C18" s="111" t="s">
        <v>25</v>
      </c>
      <c r="D18" s="111"/>
    </row>
    <row r="19" spans="1:16" x14ac:dyDescent="0.3">
      <c r="A19" s="97" t="s">
        <v>14</v>
      </c>
      <c r="B19" s="97"/>
      <c r="C19" s="97"/>
      <c r="D19" s="97"/>
      <c r="E19" s="97"/>
      <c r="F19" s="97"/>
      <c r="K19" s="103"/>
      <c r="L19" s="103"/>
      <c r="M19" s="103"/>
      <c r="N19" s="103"/>
      <c r="O19" s="103"/>
      <c r="P19" s="103"/>
    </row>
    <row r="20" spans="1:16" x14ac:dyDescent="0.3">
      <c r="A20" s="10"/>
      <c r="B20" s="10" t="s">
        <v>3</v>
      </c>
      <c r="C20" s="10" t="s">
        <v>4</v>
      </c>
      <c r="D20" s="10" t="s">
        <v>5</v>
      </c>
      <c r="E20" s="10" t="s">
        <v>27</v>
      </c>
      <c r="F20" s="10" t="s">
        <v>28</v>
      </c>
      <c r="K20" s="31"/>
      <c r="L20" s="31"/>
      <c r="M20" s="31"/>
      <c r="N20" s="31"/>
      <c r="O20" s="31"/>
      <c r="P20" s="31"/>
    </row>
    <row r="21" spans="1:16" x14ac:dyDescent="0.3">
      <c r="A21" s="6" t="s">
        <v>3</v>
      </c>
      <c r="B21" s="6">
        <v>1</v>
      </c>
      <c r="C21" s="6">
        <v>0.36792336326917152</v>
      </c>
      <c r="D21" s="6">
        <v>0.43680637771532604</v>
      </c>
      <c r="E21" s="6">
        <v>0.25602858431361869</v>
      </c>
      <c r="F21" s="6">
        <v>0.31936644266700298</v>
      </c>
    </row>
    <row r="22" spans="1:16" x14ac:dyDescent="0.3">
      <c r="A22" s="6" t="s">
        <v>4</v>
      </c>
      <c r="B22" s="6">
        <v>0.36792336326917152</v>
      </c>
      <c r="C22" s="6">
        <v>1</v>
      </c>
      <c r="D22" s="6">
        <v>0.37641933071997818</v>
      </c>
      <c r="E22" s="6">
        <v>0.20925163462684404</v>
      </c>
      <c r="F22" s="6">
        <v>0.15521406664150075</v>
      </c>
    </row>
    <row r="23" spans="1:16" x14ac:dyDescent="0.3">
      <c r="A23" s="6" t="s">
        <v>5</v>
      </c>
      <c r="B23" s="6">
        <v>0.43680637771532604</v>
      </c>
      <c r="C23" s="6">
        <v>0.37641933071997818</v>
      </c>
      <c r="D23" s="6">
        <v>1</v>
      </c>
      <c r="E23" s="6">
        <v>0.26102381974149802</v>
      </c>
      <c r="F23" s="6">
        <v>0.18945522465123846</v>
      </c>
    </row>
    <row r="24" spans="1:16" x14ac:dyDescent="0.3">
      <c r="A24" s="6" t="s">
        <v>27</v>
      </c>
      <c r="B24" s="6">
        <v>0.25602858431361869</v>
      </c>
      <c r="C24" s="6">
        <v>0.20925163462684404</v>
      </c>
      <c r="D24" s="6">
        <v>0.26102381974149802</v>
      </c>
      <c r="E24" s="6">
        <v>1</v>
      </c>
      <c r="F24" s="6">
        <v>0.33938648872021138</v>
      </c>
    </row>
    <row r="25" spans="1:16" x14ac:dyDescent="0.3">
      <c r="A25" s="6" t="s">
        <v>28</v>
      </c>
      <c r="B25" s="6">
        <v>0.31936644266700298</v>
      </c>
      <c r="C25" s="6">
        <v>0.15521406664150075</v>
      </c>
      <c r="D25" s="6">
        <v>0.18945522465123846</v>
      </c>
      <c r="E25" s="6">
        <v>0.33938648872021138</v>
      </c>
      <c r="F25" s="6">
        <v>1</v>
      </c>
    </row>
  </sheetData>
  <mergeCells count="3">
    <mergeCell ref="A19:F19"/>
    <mergeCell ref="C18:D18"/>
    <mergeCell ref="K19:P19"/>
  </mergeCells>
  <conditionalFormatting sqref="B21:F25">
    <cfRule type="colorScale" priority="1">
      <colorScale>
        <cfvo type="min"/>
        <cfvo type="percentile" val="0"/>
        <cfvo type="max"/>
        <color theme="8" tint="-0.249977111117893"/>
        <color theme="0"/>
        <color rgb="FFC00000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43B30-8A65-4838-BD22-6CD01438C057}">
  <dimension ref="A1:G12"/>
  <sheetViews>
    <sheetView workbookViewId="0">
      <selection activeCell="E14" sqref="E14"/>
    </sheetView>
  </sheetViews>
  <sheetFormatPr defaultRowHeight="14.4" x14ac:dyDescent="0.3"/>
  <cols>
    <col min="1" max="1" width="34.88671875" bestFit="1" customWidth="1"/>
    <col min="2" max="2" width="12" bestFit="1" customWidth="1"/>
    <col min="4" max="4" width="18.44140625" bestFit="1" customWidth="1"/>
    <col min="5" max="5" width="12" bestFit="1" customWidth="1"/>
  </cols>
  <sheetData>
    <row r="1" spans="1:7" x14ac:dyDescent="0.3">
      <c r="A1" s="98" t="s">
        <v>54</v>
      </c>
      <c r="B1" s="98"/>
      <c r="C1" s="98"/>
      <c r="D1" s="98"/>
      <c r="E1" s="98"/>
      <c r="F1" s="98"/>
      <c r="G1" s="98"/>
    </row>
    <row r="2" spans="1:7" x14ac:dyDescent="0.3">
      <c r="A2" s="17"/>
      <c r="B2" s="17"/>
      <c r="C2" s="17"/>
      <c r="D2" s="17"/>
      <c r="E2" s="17"/>
      <c r="F2" s="17"/>
      <c r="G2" s="17"/>
    </row>
    <row r="3" spans="1:7" x14ac:dyDescent="0.3">
      <c r="A3" s="7"/>
      <c r="B3" s="7" t="s">
        <v>3</v>
      </c>
      <c r="C3" s="7" t="s">
        <v>4</v>
      </c>
      <c r="D3" s="7" t="s">
        <v>5</v>
      </c>
      <c r="E3" s="7" t="s">
        <v>27</v>
      </c>
      <c r="F3" s="7" t="s">
        <v>28</v>
      </c>
      <c r="G3" s="17"/>
    </row>
    <row r="4" spans="1:7" x14ac:dyDescent="0.3">
      <c r="A4" s="7" t="s">
        <v>30</v>
      </c>
      <c r="B4" s="20">
        <v>0.28750924159358343</v>
      </c>
      <c r="C4" s="20">
        <v>0.29400141340009184</v>
      </c>
      <c r="D4" s="20">
        <v>0.05</v>
      </c>
      <c r="E4" s="20">
        <v>0.28750924159358343</v>
      </c>
      <c r="F4" s="20">
        <v>8.0980103412697388E-2</v>
      </c>
      <c r="G4" s="18">
        <f>SUM(B4:F4)</f>
        <v>0.99999999999995604</v>
      </c>
    </row>
    <row r="5" spans="1:7" x14ac:dyDescent="0.3">
      <c r="A5" s="17"/>
      <c r="B5" s="91"/>
      <c r="C5" s="91"/>
      <c r="D5" s="91"/>
      <c r="E5" s="91"/>
      <c r="F5" s="91"/>
      <c r="G5" s="92"/>
    </row>
    <row r="6" spans="1:7" x14ac:dyDescent="0.3">
      <c r="A6" s="7" t="s">
        <v>17</v>
      </c>
      <c r="B6" s="19">
        <v>0.16516752988388633</v>
      </c>
      <c r="C6" s="17"/>
      <c r="D6" s="17"/>
      <c r="E6" s="17"/>
      <c r="F6" s="17"/>
      <c r="G6" s="17"/>
    </row>
    <row r="7" spans="1:7" x14ac:dyDescent="0.3">
      <c r="A7" s="7" t="s">
        <v>18</v>
      </c>
      <c r="B7" s="9">
        <v>0.40640808294605352</v>
      </c>
      <c r="C7" s="17"/>
      <c r="D7" s="112"/>
      <c r="E7" s="112"/>
      <c r="F7" s="17"/>
      <c r="G7" s="17"/>
    </row>
    <row r="8" spans="1:7" x14ac:dyDescent="0.3">
      <c r="A8" s="7" t="s">
        <v>19</v>
      </c>
      <c r="B8" s="9">
        <v>0.69294828146646914</v>
      </c>
      <c r="C8" s="17"/>
      <c r="D8" s="17"/>
      <c r="E8" s="17"/>
      <c r="F8" s="17"/>
      <c r="G8" s="17"/>
    </row>
    <row r="9" spans="1:7" x14ac:dyDescent="0.3">
      <c r="A9" s="7" t="s">
        <v>20</v>
      </c>
      <c r="B9" s="20">
        <v>0.65254828146646915</v>
      </c>
      <c r="C9" s="17"/>
      <c r="D9" s="17"/>
      <c r="E9" s="91"/>
      <c r="F9" s="17"/>
      <c r="G9" s="17"/>
    </row>
    <row r="10" spans="1:7" x14ac:dyDescent="0.3">
      <c r="A10" s="7" t="s">
        <v>21</v>
      </c>
      <c r="B10" s="39">
        <f>B9/B7</f>
        <v>1.6056478914891272</v>
      </c>
      <c r="C10" s="17"/>
      <c r="D10" s="17"/>
      <c r="E10" s="91"/>
      <c r="F10" s="17"/>
      <c r="G10" s="17"/>
    </row>
    <row r="11" spans="1:7" x14ac:dyDescent="0.3">
      <c r="E11" s="51"/>
    </row>
    <row r="12" spans="1:7" x14ac:dyDescent="0.3">
      <c r="E12" s="93"/>
    </row>
  </sheetData>
  <mergeCells count="2">
    <mergeCell ref="A1:G1"/>
    <mergeCell ref="D7:E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4DC83-9C0A-47AD-924E-98FFE8572D4C}">
  <dimension ref="A1:N755"/>
  <sheetViews>
    <sheetView tabSelected="1" topLeftCell="J1" workbookViewId="0">
      <selection activeCell="V14" sqref="V14"/>
    </sheetView>
  </sheetViews>
  <sheetFormatPr defaultRowHeight="14.4" x14ac:dyDescent="0.3"/>
  <cols>
    <col min="1" max="1" width="10.5546875" bestFit="1" customWidth="1"/>
    <col min="8" max="8" width="15.109375" bestFit="1" customWidth="1"/>
    <col min="10" max="10" width="11.44140625" bestFit="1" customWidth="1"/>
  </cols>
  <sheetData>
    <row r="1" spans="1:14" ht="15.6" x14ac:dyDescent="0.3">
      <c r="A1" s="113" t="s">
        <v>1</v>
      </c>
      <c r="B1" s="113"/>
      <c r="C1" s="113"/>
      <c r="D1" s="113"/>
      <c r="E1" s="113"/>
      <c r="F1" s="113"/>
      <c r="G1" s="113"/>
      <c r="H1" s="113"/>
      <c r="L1" s="103" t="s">
        <v>53</v>
      </c>
      <c r="M1" s="103"/>
      <c r="N1" s="85">
        <f>4.04%/252</f>
        <v>1.603174603174603E-4</v>
      </c>
    </row>
    <row r="2" spans="1:14" ht="72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27</v>
      </c>
      <c r="F2" s="1" t="s">
        <v>28</v>
      </c>
      <c r="G2" s="1" t="s">
        <v>6</v>
      </c>
      <c r="H2" s="87" t="s">
        <v>50</v>
      </c>
      <c r="I2" s="84" t="s">
        <v>51</v>
      </c>
      <c r="J2" s="6" t="s">
        <v>52</v>
      </c>
    </row>
    <row r="3" spans="1:14" x14ac:dyDescent="0.3">
      <c r="A3" s="2">
        <v>46030</v>
      </c>
      <c r="B3" s="3">
        <v>-4.9675670629667958E-3</v>
      </c>
      <c r="C3" s="3">
        <v>-2.1756838415997935E-2</v>
      </c>
      <c r="D3" s="3">
        <v>1.0124508481054334E-2</v>
      </c>
      <c r="E3" s="3">
        <v>2.746537745517948E-2</v>
      </c>
      <c r="F3" s="3">
        <v>7.6737622551602989E-3</v>
      </c>
      <c r="G3" s="3">
        <v>7.657637160338651E-5</v>
      </c>
      <c r="H3" s="3">
        <f>(Sheet1!$Y$19*' Rolling-window portfolio analy'!B3+Sheet1!$Z$19*' Rolling-window portfolio analy'!C3+Sheet1!$AA$19*' Rolling-window portfolio analy'!D3+Sheet1!$AB$19*' Rolling-window portfolio analy'!E3+Sheet1!$AC$19*' Rolling-window portfolio analy'!F3)</f>
        <v>-1.2854559772600516E-2</v>
      </c>
      <c r="I3" s="6"/>
      <c r="J3" s="6"/>
    </row>
    <row r="4" spans="1:14" x14ac:dyDescent="0.3">
      <c r="A4" s="2">
        <v>46029</v>
      </c>
      <c r="B4" s="3">
        <v>-7.7675494332428621E-3</v>
      </c>
      <c r="C4" s="3">
        <v>9.9376399073116562E-3</v>
      </c>
      <c r="D4" s="3">
        <v>-3.5864309529579884E-3</v>
      </c>
      <c r="E4" s="3">
        <v>-1.0995834674529465E-2</v>
      </c>
      <c r="F4" s="3">
        <v>-2.8685881434848626E-2</v>
      </c>
      <c r="G4" s="3">
        <v>-3.4459042806426455E-3</v>
      </c>
      <c r="H4" s="3">
        <f>(Sheet1!$Y$19*' Rolling-window portfolio analy'!B4+Sheet1!$Z$19*' Rolling-window portfolio analy'!C4+Sheet1!$AA$19*' Rolling-window portfolio analy'!D4+Sheet1!$AB$19*' Rolling-window portfolio analy'!E4+Sheet1!$AC$19*' Rolling-window portfolio analy'!F4)</f>
        <v>3.5243742336321686E-3</v>
      </c>
      <c r="I4" s="6"/>
      <c r="J4" s="6"/>
    </row>
    <row r="5" spans="1:14" x14ac:dyDescent="0.3">
      <c r="A5" s="2">
        <v>46028</v>
      </c>
      <c r="B5" s="3">
        <v>-1.8504360927380031E-2</v>
      </c>
      <c r="C5" s="3">
        <v>-4.6888406449773386E-3</v>
      </c>
      <c r="D5" s="3">
        <v>-4.2306479709836572E-2</v>
      </c>
      <c r="E5" s="3">
        <v>6.2976338152214012E-3</v>
      </c>
      <c r="F5" s="3">
        <v>4.4456866774561536E-3</v>
      </c>
      <c r="G5" s="3">
        <v>6.1775890172726979E-3</v>
      </c>
      <c r="H5" s="3">
        <f>(Sheet1!$Y$19*' Rolling-window portfolio analy'!B5+Sheet1!$Z$19*' Rolling-window portfolio analy'!C5+Sheet1!$AA$19*' Rolling-window portfolio analy'!D5+Sheet1!$AB$19*' Rolling-window portfolio analy'!E5+Sheet1!$AC$19*' Rolling-window portfolio analy'!F5)</f>
        <v>-7.1505595945816408E-3</v>
      </c>
      <c r="I5" s="6"/>
      <c r="J5" s="6"/>
    </row>
    <row r="6" spans="1:14" x14ac:dyDescent="0.3">
      <c r="A6" s="2">
        <v>46027</v>
      </c>
      <c r="B6" s="3">
        <v>-1.3933753214987847E-2</v>
      </c>
      <c r="C6" s="3">
        <v>-3.8729920816185518E-3</v>
      </c>
      <c r="D6" s="3">
        <v>3.0573109733647949E-2</v>
      </c>
      <c r="E6" s="3">
        <v>4.0125952593826959E-2</v>
      </c>
      <c r="F6" s="3">
        <v>-9.9751450568197324E-3</v>
      </c>
      <c r="G6" s="3">
        <v>6.3340841341208987E-3</v>
      </c>
      <c r="H6" s="3">
        <f>(Sheet1!$Y$19*' Rolling-window portfolio analy'!B6+Sheet1!$Z$19*' Rolling-window portfolio analy'!C6+Sheet1!$AA$19*' Rolling-window portfolio analy'!D6+Sheet1!$AB$19*' Rolling-window portfolio analy'!E6+Sheet1!$AC$19*' Rolling-window portfolio analy'!F6)</f>
        <v>-2.1386807327331515E-3</v>
      </c>
      <c r="I6" s="6"/>
      <c r="J6" s="6"/>
    </row>
    <row r="7" spans="1:14" x14ac:dyDescent="0.3">
      <c r="A7" s="2">
        <v>46024</v>
      </c>
      <c r="B7" s="3">
        <v>-3.1315073391992238E-3</v>
      </c>
      <c r="C7" s="3">
        <v>1.2521810074595619E-2</v>
      </c>
      <c r="D7" s="3">
        <v>-2.6246451922947098E-2</v>
      </c>
      <c r="E7" s="3">
        <v>3.4530836872391488E-2</v>
      </c>
      <c r="F7" s="3">
        <v>5.5157199412732142E-4</v>
      </c>
      <c r="G7" s="3">
        <v>1.8928827007984883E-3</v>
      </c>
      <c r="H7" s="3">
        <f>(Sheet1!$Y$19*' Rolling-window portfolio analy'!B7+Sheet1!$Z$19*' Rolling-window portfolio analy'!C7+Sheet1!$AA$19*' Rolling-window portfolio analy'!D7+Sheet1!$AB$19*' Rolling-window portfolio analy'!E7+Sheet1!$AC$19*' Rolling-window portfolio analy'!F7)</f>
        <v>1.0646583690990972E-2</v>
      </c>
      <c r="I7" s="6"/>
      <c r="J7" s="6"/>
    </row>
    <row r="8" spans="1:14" x14ac:dyDescent="0.3">
      <c r="A8" s="2">
        <v>46022</v>
      </c>
      <c r="B8" s="3">
        <v>-4.4775646429776467E-3</v>
      </c>
      <c r="C8" s="3">
        <v>-5.5609169076088118E-3</v>
      </c>
      <c r="D8" s="3">
        <v>-1.0418719472844623E-2</v>
      </c>
      <c r="E8" s="3">
        <v>-1.2004946096823486E-2</v>
      </c>
      <c r="F8" s="3">
        <v>-4.6786929987781061E-3</v>
      </c>
      <c r="G8" s="3">
        <v>-7.3848334483381777E-3</v>
      </c>
      <c r="H8" s="3">
        <f>(Sheet1!$Y$19*' Rolling-window portfolio analy'!B8+Sheet1!$Z$19*' Rolling-window portfolio analy'!C8+Sheet1!$AA$19*' Rolling-window portfolio analy'!D8+Sheet1!$AB$19*' Rolling-window portfolio analy'!E8+Sheet1!$AC$19*' Rolling-window portfolio analy'!F8)</f>
        <v>-5.9116019437531614E-3</v>
      </c>
      <c r="I8" s="6"/>
      <c r="J8" s="6"/>
    </row>
    <row r="9" spans="1:14" x14ac:dyDescent="0.3">
      <c r="A9" s="2">
        <v>46021</v>
      </c>
      <c r="B9" s="3">
        <v>-2.4870175938038587E-3</v>
      </c>
      <c r="C9" s="3">
        <v>-3.6193354391626667E-3</v>
      </c>
      <c r="D9" s="3">
        <v>-1.1399688035029425E-2</v>
      </c>
      <c r="E9" s="3">
        <v>1.552452738072135E-2</v>
      </c>
      <c r="F9" s="3">
        <v>-8.2034914528277911E-3</v>
      </c>
      <c r="G9" s="3">
        <v>-1.3766142974067502E-3</v>
      </c>
      <c r="H9" s="3">
        <f>(Sheet1!$Y$19*' Rolling-window portfolio analy'!B9+Sheet1!$Z$19*' Rolling-window portfolio analy'!C9+Sheet1!$AA$19*' Rolling-window portfolio analy'!D9+Sheet1!$AB$19*' Rolling-window portfolio analy'!E9+Sheet1!$AC$19*' Rolling-window portfolio analy'!F9)</f>
        <v>-1.5358569430276158E-3</v>
      </c>
      <c r="I9" s="6"/>
      <c r="J9" s="6"/>
    </row>
    <row r="10" spans="1:14" x14ac:dyDescent="0.3">
      <c r="A10" s="2">
        <v>46020</v>
      </c>
      <c r="B10" s="3">
        <v>1.3158858540342575E-3</v>
      </c>
      <c r="C10" s="3">
        <v>-1.2198171052351379E-2</v>
      </c>
      <c r="D10" s="3">
        <v>-3.3271149666535153E-2</v>
      </c>
      <c r="E10" s="3">
        <v>2.8688092057605912E-3</v>
      </c>
      <c r="F10" s="3">
        <v>2.7270265059250319E-3</v>
      </c>
      <c r="G10" s="3">
        <v>-3.4982053182543806E-3</v>
      </c>
      <c r="H10" s="3">
        <f>(Sheet1!$Y$19*' Rolling-window portfolio analy'!B10+Sheet1!$Z$19*' Rolling-window portfolio analy'!C10+Sheet1!$AA$19*' Rolling-window portfolio analy'!D10+Sheet1!$AB$19*' Rolling-window portfolio analy'!E10+Sheet1!$AC$19*' Rolling-window portfolio analy'!F10)</f>
        <v>-7.4464142057187105E-3</v>
      </c>
      <c r="I10" s="6"/>
      <c r="J10" s="6"/>
    </row>
    <row r="11" spans="1:14" x14ac:dyDescent="0.3">
      <c r="A11" s="2">
        <v>46017</v>
      </c>
      <c r="B11" s="3">
        <v>-1.4985109070465431E-3</v>
      </c>
      <c r="C11" s="3">
        <v>1.0128271419913706E-2</v>
      </c>
      <c r="D11" s="3">
        <v>-2.125856923653283E-2</v>
      </c>
      <c r="E11" s="3">
        <v>-1.1043623430531026E-3</v>
      </c>
      <c r="F11" s="3">
        <v>-4.359679929810463E-3</v>
      </c>
      <c r="G11" s="3">
        <v>-3.0442959723623621E-4</v>
      </c>
      <c r="H11" s="3">
        <f>(Sheet1!$Y$19*' Rolling-window portfolio analy'!B11+Sheet1!$Z$19*' Rolling-window portfolio analy'!C11+Sheet1!$AA$19*' Rolling-window portfolio analy'!D11+Sheet1!$AB$19*' Rolling-window portfolio analy'!E11+Sheet1!$AC$19*' Rolling-window portfolio analy'!F11)</f>
        <v>6.1144319465840282E-3</v>
      </c>
      <c r="I11" s="6"/>
      <c r="J11" s="6"/>
    </row>
    <row r="12" spans="1:14" x14ac:dyDescent="0.3">
      <c r="A12" s="2">
        <v>46015</v>
      </c>
      <c r="B12" s="3">
        <v>5.3097145821295851E-3</v>
      </c>
      <c r="C12" s="3">
        <v>-3.1761182805900893E-3</v>
      </c>
      <c r="D12" s="3">
        <v>-3.2957073710190474E-4</v>
      </c>
      <c r="E12" s="3">
        <v>2.4312090658000019E-3</v>
      </c>
      <c r="F12" s="3">
        <v>5.1792401450595953E-3</v>
      </c>
      <c r="G12" s="3">
        <v>3.2163381731992791E-3</v>
      </c>
      <c r="H12" s="3">
        <f>(Sheet1!$Y$19*' Rolling-window portfolio analy'!B12+Sheet1!$Z$19*' Rolling-window portfolio analy'!C12+Sheet1!$AA$19*' Rolling-window portfolio analy'!D12+Sheet1!$AB$19*' Rolling-window portfolio analy'!E12+Sheet1!$AC$19*' Rolling-window portfolio analy'!F12)</f>
        <v>-5.2876146542976937E-4</v>
      </c>
      <c r="I12" s="6"/>
      <c r="J12" s="6"/>
    </row>
    <row r="13" spans="1:14" x14ac:dyDescent="0.3">
      <c r="A13" s="2">
        <v>46014</v>
      </c>
      <c r="B13" s="3">
        <v>5.116606969895846E-3</v>
      </c>
      <c r="C13" s="3">
        <v>2.9607955185696779E-2</v>
      </c>
      <c r="D13" s="3">
        <v>-6.5073257165847677E-3</v>
      </c>
      <c r="E13" s="3">
        <v>-8.1543151557931619E-3</v>
      </c>
      <c r="F13" s="3">
        <v>1.3674280812549875E-3</v>
      </c>
      <c r="G13" s="3">
        <v>4.5400954671889586E-3</v>
      </c>
      <c r="H13" s="3">
        <f>(Sheet1!$Y$19*' Rolling-window portfolio analy'!B13+Sheet1!$Z$19*' Rolling-window portfolio analy'!C13+Sheet1!$AA$19*' Rolling-window portfolio analy'!D13+Sheet1!$AB$19*' Rolling-window portfolio analy'!E13+Sheet1!$AC$19*' Rolling-window portfolio analy'!F13)</f>
        <v>1.9869724530084856E-2</v>
      </c>
      <c r="I13" s="6"/>
      <c r="J13" s="6"/>
    </row>
    <row r="14" spans="1:14" x14ac:dyDescent="0.3">
      <c r="A14" s="2">
        <v>46013</v>
      </c>
      <c r="B14" s="3">
        <v>-9.9148873332354798E-3</v>
      </c>
      <c r="C14" s="3">
        <v>1.4807773037192643E-2</v>
      </c>
      <c r="D14" s="3">
        <v>1.5527205645663913E-2</v>
      </c>
      <c r="E14" s="3">
        <v>1.8832948333092178E-2</v>
      </c>
      <c r="F14" s="3">
        <v>1.0952903614147435E-3</v>
      </c>
      <c r="G14" s="3">
        <v>6.415836501950419E-3</v>
      </c>
      <c r="H14" s="3">
        <f>(Sheet1!$Y$19*' Rolling-window portfolio analy'!B14+Sheet1!$Z$19*' Rolling-window portfolio analy'!C14+Sheet1!$AA$19*' Rolling-window portfolio analy'!D14+Sheet1!$AB$19*' Rolling-window portfolio analy'!E14+Sheet1!$AC$19*' Rolling-window portfolio analy'!F14)</f>
        <v>9.0428141499080961E-3</v>
      </c>
      <c r="I14" s="6"/>
      <c r="J14" s="6"/>
    </row>
    <row r="15" spans="1:14" x14ac:dyDescent="0.3">
      <c r="A15" s="2">
        <v>46010</v>
      </c>
      <c r="B15" s="3">
        <v>5.4226491284583497E-3</v>
      </c>
      <c r="C15" s="3">
        <v>3.8582207720310666E-2</v>
      </c>
      <c r="D15" s="3">
        <v>-4.4994218375708573E-3</v>
      </c>
      <c r="E15" s="3">
        <v>5.3823857232841435E-3</v>
      </c>
      <c r="F15" s="3">
        <v>-3.0091665436990231E-3</v>
      </c>
      <c r="G15" s="3">
        <v>8.7793728265068479E-3</v>
      </c>
      <c r="H15" s="3">
        <f>(Sheet1!$Y$19*' Rolling-window portfolio analy'!B15+Sheet1!$Z$19*' Rolling-window portfolio analy'!C15+Sheet1!$AA$19*' Rolling-window portfolio analy'!D15+Sheet1!$AB$19*' Rolling-window portfolio analy'!E15+Sheet1!$AC$19*' Rolling-window portfolio analy'!F15)</f>
        <v>2.7108506906873133E-2</v>
      </c>
      <c r="I15" s="6"/>
      <c r="J15" s="6"/>
    </row>
    <row r="16" spans="1:14" x14ac:dyDescent="0.3">
      <c r="A16" s="2">
        <v>46009</v>
      </c>
      <c r="B16" s="3">
        <v>1.2866939260253387E-3</v>
      </c>
      <c r="C16" s="3">
        <v>1.8546955662597609E-2</v>
      </c>
      <c r="D16" s="3">
        <v>3.3896558012283605E-2</v>
      </c>
      <c r="E16" s="3">
        <v>-1.8271453045517468E-2</v>
      </c>
      <c r="F16" s="3">
        <v>3.0091665436990391E-3</v>
      </c>
      <c r="G16" s="3">
        <v>7.9030122681597124E-3</v>
      </c>
      <c r="H16" s="3">
        <f>(Sheet1!$Y$19*' Rolling-window portfolio analy'!B16+Sheet1!$Z$19*' Rolling-window portfolio analy'!C16+Sheet1!$AA$19*' Rolling-window portfolio analy'!D16+Sheet1!$AB$19*' Rolling-window portfolio analy'!E16+Sheet1!$AC$19*' Rolling-window portfolio analy'!F16)</f>
        <v>1.0789845349539542E-2</v>
      </c>
      <c r="I16" s="6"/>
      <c r="J16" s="6"/>
    </row>
    <row r="17" spans="1:10" x14ac:dyDescent="0.3">
      <c r="A17" s="2">
        <v>46008</v>
      </c>
      <c r="B17" s="3">
        <v>-1.013825135315272E-2</v>
      </c>
      <c r="C17" s="3">
        <v>-3.8896660329835825E-2</v>
      </c>
      <c r="D17" s="3">
        <v>-4.7274615227275441E-2</v>
      </c>
      <c r="E17" s="3">
        <v>5.9794220895363183E-3</v>
      </c>
      <c r="F17" s="3">
        <v>-8.1855845864392939E-3</v>
      </c>
      <c r="G17" s="3">
        <v>-1.1659917229324452E-2</v>
      </c>
      <c r="H17" s="3">
        <f>(Sheet1!$Y$19*' Rolling-window portfolio analy'!B17+Sheet1!$Z$19*' Rolling-window portfolio analy'!C17+Sheet1!$AA$19*' Rolling-window portfolio analy'!D17+Sheet1!$AB$19*' Rolling-window portfolio analy'!E17+Sheet1!$AC$19*' Rolling-window portfolio analy'!F17)</f>
        <v>-2.7503159562417466E-2</v>
      </c>
      <c r="I17" s="6"/>
      <c r="J17" s="6"/>
    </row>
    <row r="18" spans="1:10" x14ac:dyDescent="0.3">
      <c r="A18" s="2">
        <v>46007</v>
      </c>
      <c r="B18" s="3">
        <v>1.8224235981354902E-3</v>
      </c>
      <c r="C18" s="3">
        <v>8.0789117700556697E-3</v>
      </c>
      <c r="D18" s="3">
        <v>3.0193240410874244E-2</v>
      </c>
      <c r="E18" s="3">
        <v>-4.0697597622908671E-2</v>
      </c>
      <c r="F18" s="3">
        <v>-1.0273137118412786E-2</v>
      </c>
      <c r="G18" s="3">
        <v>-2.3867639262764775E-3</v>
      </c>
      <c r="H18" s="3">
        <f>(Sheet1!$Y$19*' Rolling-window portfolio analy'!B18+Sheet1!$Z$19*' Rolling-window portfolio analy'!C18+Sheet1!$AA$19*' Rolling-window portfolio analy'!D18+Sheet1!$AB$19*' Rolling-window portfolio analy'!E18+Sheet1!$AC$19*' Rolling-window portfolio analy'!F18)</f>
        <v>1.9361625314396735E-3</v>
      </c>
      <c r="I18" s="6"/>
      <c r="J18" s="6"/>
    </row>
    <row r="19" spans="1:10" x14ac:dyDescent="0.3">
      <c r="A19" s="2">
        <v>46006</v>
      </c>
      <c r="B19" s="3">
        <v>-1.509831537680152E-2</v>
      </c>
      <c r="C19" s="3">
        <v>7.2301131899667921E-3</v>
      </c>
      <c r="D19" s="3">
        <v>3.5004162448596721E-2</v>
      </c>
      <c r="E19" s="3">
        <v>6.4000002184529353E-4</v>
      </c>
      <c r="F19" s="3">
        <v>-5.63230669572442E-3</v>
      </c>
      <c r="G19" s="3">
        <v>-1.5977816227138871E-3</v>
      </c>
      <c r="H19" s="3">
        <f>(Sheet1!$Y$19*' Rolling-window portfolio analy'!B19+Sheet1!$Z$19*' Rolling-window portfolio analy'!C19+Sheet1!$AA$19*' Rolling-window portfolio analy'!D19+Sheet1!$AB$19*' Rolling-window portfolio analy'!E19+Sheet1!$AC$19*' Rolling-window portfolio analy'!F19)</f>
        <v>1.1026514412934645E-3</v>
      </c>
      <c r="I19" s="6"/>
      <c r="J19" s="6"/>
    </row>
    <row r="20" spans="1:10" x14ac:dyDescent="0.3">
      <c r="A20" s="2">
        <v>46003</v>
      </c>
      <c r="B20" s="3">
        <v>8.9877951799999299E-4</v>
      </c>
      <c r="C20" s="3">
        <v>-3.3209963023319987E-2</v>
      </c>
      <c r="D20" s="3">
        <v>2.665058097511722E-2</v>
      </c>
      <c r="E20" s="3">
        <v>-1.272281792796796E-2</v>
      </c>
      <c r="F20" s="3">
        <v>6.4395178252541988E-3</v>
      </c>
      <c r="G20" s="3">
        <v>-1.0720936344245894E-2</v>
      </c>
      <c r="H20" s="3">
        <f>(Sheet1!$Y$19*' Rolling-window portfolio analy'!B20+Sheet1!$Z$19*' Rolling-window portfolio analy'!C20+Sheet1!$AA$19*' Rolling-window portfolio analy'!D20+Sheet1!$AB$19*' Rolling-window portfolio analy'!E20+Sheet1!$AC$19*' Rolling-window portfolio analy'!F20)</f>
        <v>-2.2675719981138952E-2</v>
      </c>
      <c r="I20" s="6"/>
      <c r="J20" s="6"/>
    </row>
    <row r="21" spans="1:10" x14ac:dyDescent="0.3">
      <c r="A21" s="2">
        <v>46002</v>
      </c>
      <c r="B21" s="3">
        <v>-2.6939187642996787E-3</v>
      </c>
      <c r="C21" s="3">
        <v>-1.5629173941733798E-2</v>
      </c>
      <c r="D21" s="3">
        <v>-1.0152145434989745E-2</v>
      </c>
      <c r="E21" s="3">
        <v>-1.2146746204165268E-2</v>
      </c>
      <c r="F21" s="5">
        <v>1.6163796622685139E-3</v>
      </c>
      <c r="G21" s="3">
        <v>2.0772175085341247E-3</v>
      </c>
      <c r="H21" s="3">
        <f>(Sheet1!$Y$19*' Rolling-window portfolio analy'!B21+Sheet1!$Z$19*' Rolling-window portfolio analy'!C21+Sheet1!$AA$19*' Rolling-window portfolio analy'!D21+Sheet1!$AB$19*' Rolling-window portfolio analy'!E21+Sheet1!$AC$19*' Rolling-window portfolio analy'!F21)</f>
        <v>-1.2072121967518773E-2</v>
      </c>
      <c r="I21" s="6"/>
      <c r="J21" s="6"/>
    </row>
    <row r="22" spans="1:10" x14ac:dyDescent="0.3">
      <c r="A22" s="2">
        <v>46001</v>
      </c>
      <c r="B22" s="3">
        <v>5.7558256610836991E-3</v>
      </c>
      <c r="C22" s="3">
        <v>-6.4542596937187469E-3</v>
      </c>
      <c r="D22" s="3">
        <v>1.4008393067343273E-2</v>
      </c>
      <c r="E22" s="3">
        <v>7.3122649016497607E-3</v>
      </c>
      <c r="F22" s="3">
        <v>1.9603132502601903E-2</v>
      </c>
      <c r="G22" s="3">
        <v>6.7268208715260186E-3</v>
      </c>
      <c r="H22" s="3">
        <f>(Sheet1!$Y$19*' Rolling-window portfolio analy'!B22+Sheet1!$Z$19*' Rolling-window portfolio analy'!C22+Sheet1!$AA$19*' Rolling-window portfolio analy'!D22+Sheet1!$AB$19*' Rolling-window portfolio analy'!E22+Sheet1!$AC$19*' Rolling-window portfolio analy'!F22)</f>
        <v>-2.0748088619191264E-3</v>
      </c>
      <c r="I22" s="6"/>
      <c r="J22" s="6"/>
    </row>
    <row r="23" spans="1:10" x14ac:dyDescent="0.3">
      <c r="A23" s="2">
        <v>46000</v>
      </c>
      <c r="B23" s="3">
        <v>-2.5582372933893359E-3</v>
      </c>
      <c r="C23" s="3">
        <v>-3.1307377401490854E-3</v>
      </c>
      <c r="D23" s="3">
        <v>1.2636506097017067E-2</v>
      </c>
      <c r="E23" s="3">
        <v>6.310496330635889E-3</v>
      </c>
      <c r="F23" s="3">
        <v>5.5005501936910054E-4</v>
      </c>
      <c r="G23" s="3">
        <v>-8.7674313098681116E-4</v>
      </c>
      <c r="H23" s="3">
        <f>(Sheet1!$Y$19*' Rolling-window portfolio analy'!B23+Sheet1!$Z$19*' Rolling-window portfolio analy'!C23+Sheet1!$AA$19*' Rolling-window portfolio analy'!D23+Sheet1!$AB$19*' Rolling-window portfolio analy'!E23+Sheet1!$AC$19*' Rolling-window portfolio analy'!F23)</f>
        <v>-2.0641677117404071E-3</v>
      </c>
      <c r="I23" s="6"/>
      <c r="J23" s="6"/>
    </row>
    <row r="24" spans="1:10" x14ac:dyDescent="0.3">
      <c r="A24" s="2">
        <v>45999</v>
      </c>
      <c r="B24" s="3">
        <v>-3.1975883676944017E-3</v>
      </c>
      <c r="C24" s="3">
        <v>1.7067486807783531E-2</v>
      </c>
      <c r="D24" s="3">
        <v>-3.4477693361822714E-2</v>
      </c>
      <c r="E24" s="3">
        <v>-3.7482387518765571E-2</v>
      </c>
      <c r="F24" s="3">
        <v>1.3764627087234573E-3</v>
      </c>
      <c r="G24" s="3">
        <v>-3.4832953129334491E-3</v>
      </c>
      <c r="H24" s="3">
        <f>(Sheet1!$Y$19*' Rolling-window portfolio analy'!B24+Sheet1!$Z$19*' Rolling-window portfolio analy'!C24+Sheet1!$AA$19*' Rolling-window portfolio analy'!D24+Sheet1!$AB$19*' Rolling-window portfolio analy'!E24+Sheet1!$AC$19*' Rolling-window portfolio analy'!F24)</f>
        <v>6.7597872270551097E-3</v>
      </c>
      <c r="I24" s="6"/>
      <c r="J24" s="6"/>
    </row>
    <row r="25" spans="1:10" x14ac:dyDescent="0.3">
      <c r="A25" s="2">
        <v>45996</v>
      </c>
      <c r="B25" s="3">
        <v>-6.863543066096575E-3</v>
      </c>
      <c r="C25" s="3">
        <v>-5.3036019229315322E-3</v>
      </c>
      <c r="D25" s="3">
        <v>1.0335009110966468E-3</v>
      </c>
      <c r="E25" s="3">
        <v>-2.8255561727724091E-2</v>
      </c>
      <c r="F25" s="3">
        <v>3.3112613036560051E-3</v>
      </c>
      <c r="G25" s="3">
        <v>1.9348001886360358E-3</v>
      </c>
      <c r="H25" s="3">
        <f>(Sheet1!$Y$19*' Rolling-window portfolio analy'!B25+Sheet1!$Z$19*' Rolling-window portfolio analy'!C25+Sheet1!$AA$19*' Rolling-window portfolio analy'!D25+Sheet1!$AB$19*' Rolling-window portfolio analy'!E25+Sheet1!$AC$19*' Rolling-window portfolio analy'!F25)</f>
        <v>-7.8572792929217407E-3</v>
      </c>
      <c r="I25" s="6"/>
      <c r="J25" s="6"/>
    </row>
    <row r="26" spans="1:10" x14ac:dyDescent="0.3">
      <c r="A26" s="2">
        <v>45995</v>
      </c>
      <c r="B26" s="3">
        <v>-1.221578437529367E-2</v>
      </c>
      <c r="C26" s="3">
        <v>2.0884027591109609E-2</v>
      </c>
      <c r="D26" s="3">
        <v>1.7287148134442987E-2</v>
      </c>
      <c r="E26" s="3">
        <v>2.3738883551622045E-3</v>
      </c>
      <c r="F26" s="3">
        <v>6.3773958000933832E-3</v>
      </c>
      <c r="G26" s="3">
        <v>1.0797529874062967E-3</v>
      </c>
      <c r="H26" s="3">
        <f>(Sheet1!$Y$19*' Rolling-window portfolio analy'!B26+Sheet1!$Z$19*' Rolling-window portfolio analy'!C26+Sheet1!$AA$19*' Rolling-window portfolio analy'!D26+Sheet1!$AB$19*' Rolling-window portfolio analy'!E26+Sheet1!$AC$19*' Rolling-window portfolio analy'!F26)</f>
        <v>1.0890271401239512E-2</v>
      </c>
      <c r="I26" s="6"/>
      <c r="J26" s="6"/>
    </row>
    <row r="27" spans="1:10" x14ac:dyDescent="0.3">
      <c r="A27" s="2">
        <v>45994</v>
      </c>
      <c r="B27" s="3">
        <v>-7.1536581678047408E-3</v>
      </c>
      <c r="C27" s="3">
        <v>-1.0358768710837891E-2</v>
      </c>
      <c r="D27" s="3">
        <v>3.9960566846484101E-2</v>
      </c>
      <c r="E27" s="3">
        <v>2.0206749346537194E-2</v>
      </c>
      <c r="F27" s="3">
        <v>2.7638533091771358E-2</v>
      </c>
      <c r="G27" s="3">
        <v>2.9753463150951035E-3</v>
      </c>
      <c r="H27" s="3">
        <f>(Sheet1!$Y$19*' Rolling-window portfolio analy'!B27+Sheet1!$Z$19*' Rolling-window portfolio analy'!C27+Sheet1!$AA$19*' Rolling-window portfolio analy'!D27+Sheet1!$AB$19*' Rolling-window portfolio analy'!E27+Sheet1!$AC$19*' Rolling-window portfolio analy'!F27)</f>
        <v>-6.5709828583903236E-3</v>
      </c>
      <c r="I27" s="6"/>
      <c r="J27" s="6"/>
    </row>
    <row r="28" spans="1:10" x14ac:dyDescent="0.3">
      <c r="A28" s="2">
        <v>45993</v>
      </c>
      <c r="B28" s="3">
        <v>1.0855733793081178E-2</v>
      </c>
      <c r="C28" s="3">
        <v>8.5229360904227405E-3</v>
      </c>
      <c r="D28" s="3">
        <v>-2.0945340339091861E-3</v>
      </c>
      <c r="E28" s="3">
        <v>-1.3649348800378045E-2</v>
      </c>
      <c r="F28" s="3">
        <v>3.4374138687515605E-3</v>
      </c>
      <c r="G28" s="3">
        <v>2.4541868350872E-3</v>
      </c>
      <c r="H28" s="3">
        <f>(Sheet1!$Y$19*' Rolling-window portfolio analy'!B28+Sheet1!$Z$19*' Rolling-window portfolio analy'!C28+Sheet1!$AA$19*' Rolling-window portfolio analy'!D28+Sheet1!$AB$19*' Rolling-window portfolio analy'!E28+Sheet1!$AC$19*' Rolling-window portfolio analy'!F28)</f>
        <v>6.9805255774439533E-3</v>
      </c>
      <c r="I28" s="6"/>
      <c r="J28" s="6"/>
    </row>
    <row r="29" spans="1:10" x14ac:dyDescent="0.3">
      <c r="A29" s="2">
        <v>45992</v>
      </c>
      <c r="B29" s="3">
        <v>1.512618928229114E-2</v>
      </c>
      <c r="C29" s="3">
        <v>1.636257507723099E-2</v>
      </c>
      <c r="D29" s="3">
        <v>-6.9742302221736553E-5</v>
      </c>
      <c r="E29" s="3">
        <v>-7.9713037301838859E-4</v>
      </c>
      <c r="F29" s="3">
        <v>-1.4528100562909744E-2</v>
      </c>
      <c r="G29" s="3">
        <v>-5.337554357799105E-3</v>
      </c>
      <c r="H29" s="3">
        <f>(Sheet1!$Y$19*' Rolling-window portfolio analy'!B29+Sheet1!$Z$19*' Rolling-window portfolio analy'!C29+Sheet1!$AA$19*' Rolling-window portfolio analy'!D29+Sheet1!$AB$19*' Rolling-window portfolio analy'!E29+Sheet1!$AC$19*' Rolling-window portfolio analy'!F29)</f>
        <v>1.4397521732337439E-2</v>
      </c>
      <c r="I29" s="6"/>
      <c r="J29" s="6"/>
    </row>
    <row r="30" spans="1:10" x14ac:dyDescent="0.3">
      <c r="A30" s="2">
        <v>45989</v>
      </c>
      <c r="B30" s="3">
        <v>4.6729056993924231E-3</v>
      </c>
      <c r="C30" s="3">
        <v>-1.8250520554434511E-2</v>
      </c>
      <c r="D30" s="3">
        <v>8.3805567821813014E-3</v>
      </c>
      <c r="E30" s="3">
        <v>1.3436480097537161E-2</v>
      </c>
      <c r="F30" s="3">
        <v>1.6982738301916103E-3</v>
      </c>
      <c r="G30" s="3">
        <v>5.3404900859037579E-3</v>
      </c>
      <c r="H30" s="3">
        <f>(Sheet1!$Y$19*' Rolling-window portfolio analy'!B30+Sheet1!$Z$19*' Rolling-window portfolio analy'!C30+Sheet1!$AA$19*' Rolling-window portfolio analy'!D30+Sheet1!$AB$19*' Rolling-window portfolio analy'!E30+Sheet1!$AC$19*' Rolling-window portfolio analy'!F30)</f>
        <v>-9.4957108077187817E-3</v>
      </c>
      <c r="I30" s="6"/>
      <c r="J30" s="6"/>
    </row>
    <row r="31" spans="1:10" x14ac:dyDescent="0.3">
      <c r="A31" s="2">
        <v>45987</v>
      </c>
      <c r="B31" s="3">
        <v>2.0919000631496021E-3</v>
      </c>
      <c r="C31" s="3">
        <v>1.3628450435270884E-2</v>
      </c>
      <c r="D31" s="3">
        <v>1.6974804145056668E-2</v>
      </c>
      <c r="E31" s="3">
        <v>2.0210192812785241E-3</v>
      </c>
      <c r="F31" s="3">
        <v>1.1396134730869582E-2</v>
      </c>
      <c r="G31" s="3">
        <v>6.8829721842695365E-3</v>
      </c>
      <c r="H31" s="3">
        <f>(Sheet1!$Y$19*' Rolling-window portfolio analy'!B31+Sheet1!$Z$19*' Rolling-window portfolio analy'!C31+Sheet1!$AA$19*' Rolling-window portfolio analy'!D31+Sheet1!$AB$19*' Rolling-window portfolio analy'!E31+Sheet1!$AC$19*' Rolling-window portfolio analy'!F31)</f>
        <v>9.6644904785134402E-3</v>
      </c>
      <c r="I31" s="6"/>
      <c r="J31" s="6"/>
    </row>
    <row r="32" spans="1:10" x14ac:dyDescent="0.3">
      <c r="A32" s="2">
        <v>45986</v>
      </c>
      <c r="B32" s="3">
        <v>3.7982284444352779E-3</v>
      </c>
      <c r="C32" s="3">
        <v>-2.6252305408653101E-2</v>
      </c>
      <c r="D32" s="3">
        <v>3.8701402853091589E-3</v>
      </c>
      <c r="E32" s="3">
        <v>1.4171477217356525E-3</v>
      </c>
      <c r="F32" s="3">
        <v>1.4721004764206689E-2</v>
      </c>
      <c r="G32" s="3">
        <v>9.0209207985121487E-3</v>
      </c>
      <c r="H32" s="3">
        <f>(Sheet1!$Y$19*' Rolling-window portfolio analy'!B32+Sheet1!$Z$19*' Rolling-window portfolio analy'!C32+Sheet1!$AA$19*' Rolling-window portfolio analy'!D32+Sheet1!$AB$19*' Rolling-window portfolio analy'!E32+Sheet1!$AC$19*' Rolling-window portfolio analy'!F32)</f>
        <v>-1.6099883620289468E-2</v>
      </c>
      <c r="I32" s="6"/>
      <c r="J32" s="6"/>
    </row>
    <row r="33" spans="1:10" x14ac:dyDescent="0.3">
      <c r="A33" s="2">
        <v>45985</v>
      </c>
      <c r="B33" s="3">
        <v>1.6185662345448357E-2</v>
      </c>
      <c r="C33" s="3">
        <v>2.0308918134911681E-2</v>
      </c>
      <c r="D33" s="3">
        <v>6.6017265656139593E-2</v>
      </c>
      <c r="E33" s="3">
        <v>9.772064733792522E-3</v>
      </c>
      <c r="F33" s="3">
        <v>3.203730714595697E-3</v>
      </c>
      <c r="G33" s="3">
        <v>1.5348836917048726E-2</v>
      </c>
      <c r="H33" s="3">
        <f>(Sheet1!$Y$19*' Rolling-window portfolio analy'!B33+Sheet1!$Z$19*' Rolling-window portfolio analy'!C33+Sheet1!$AA$19*' Rolling-window portfolio analy'!D33+Sheet1!$AB$19*' Rolling-window portfolio analy'!E33+Sheet1!$AC$19*' Rolling-window portfolio analy'!F33)</f>
        <v>1.8366901065983859E-2</v>
      </c>
      <c r="I33" s="6"/>
      <c r="J33" s="6"/>
    </row>
    <row r="34" spans="1:10" x14ac:dyDescent="0.3">
      <c r="A34" s="2">
        <v>45982</v>
      </c>
      <c r="B34" s="3">
        <v>1.9489589259502289E-2</v>
      </c>
      <c r="C34" s="3">
        <v>-9.7909104346175276E-3</v>
      </c>
      <c r="D34" s="3">
        <v>-1.0530161397427303E-2</v>
      </c>
      <c r="E34" s="3">
        <v>1.6710032957470554E-2</v>
      </c>
      <c r="F34" s="3">
        <v>1.7657904355453013E-2</v>
      </c>
      <c r="G34" s="3">
        <v>9.775031702356704E-3</v>
      </c>
      <c r="H34" s="3">
        <f>(Sheet1!$Y$19*' Rolling-window portfolio analy'!B34+Sheet1!$Z$19*' Rolling-window portfolio analy'!C34+Sheet1!$AA$19*' Rolling-window portfolio analy'!D34+Sheet1!$AB$19*' Rolling-window portfolio analy'!E34+Sheet1!$AC$19*' Rolling-window portfolio analy'!F34)</f>
        <v>3.1987754076062257E-6</v>
      </c>
      <c r="I34" s="6"/>
      <c r="J34" s="6"/>
    </row>
    <row r="35" spans="1:10" x14ac:dyDescent="0.3">
      <c r="A35" s="2">
        <v>45981</v>
      </c>
      <c r="B35" s="3">
        <v>-8.6386356481446304E-3</v>
      </c>
      <c r="C35" s="3">
        <v>-3.2032371538768305E-2</v>
      </c>
      <c r="D35" s="3">
        <v>-2.1922251255757013E-2</v>
      </c>
      <c r="E35" s="3">
        <v>-8.4930598551895987E-3</v>
      </c>
      <c r="F35" s="3">
        <v>-8.2791720690206481E-3</v>
      </c>
      <c r="G35" s="3">
        <v>-1.5689666748388537E-2</v>
      </c>
      <c r="H35" s="3">
        <f>(Sheet1!$Y$19*' Rolling-window portfolio analy'!B35+Sheet1!$Z$19*' Rolling-window portfolio analy'!C35+Sheet1!$AA$19*' Rolling-window portfolio analy'!D35+Sheet1!$AB$19*' Rolling-window portfolio analy'!E35+Sheet1!$AC$19*' Rolling-window portfolio analy'!F35)</f>
        <v>-2.3963463115136866E-2</v>
      </c>
      <c r="I35" s="6"/>
      <c r="J35" s="6"/>
    </row>
    <row r="36" spans="1:10" x14ac:dyDescent="0.3">
      <c r="A36" s="2">
        <v>45980</v>
      </c>
      <c r="B36" s="3">
        <v>4.1791105599363393E-3</v>
      </c>
      <c r="C36" s="3">
        <v>2.8054465740846562E-2</v>
      </c>
      <c r="D36" s="3">
        <v>6.8054507353294495E-3</v>
      </c>
      <c r="E36" s="3">
        <v>8.7011114527359591E-3</v>
      </c>
      <c r="F36" s="3">
        <v>-8.8300226487806081E-4</v>
      </c>
      <c r="G36" s="3">
        <v>3.7467576494783256E-3</v>
      </c>
      <c r="H36" s="3">
        <f>(Sheet1!$Y$19*' Rolling-window portfolio analy'!B36+Sheet1!$Z$19*' Rolling-window portfolio analy'!C36+Sheet1!$AA$19*' Rolling-window portfolio analy'!D36+Sheet1!$AB$19*' Rolling-window portfolio analy'!E36+Sheet1!$AC$19*' Rolling-window portfolio analy'!F36)</f>
        <v>2.0242668102437987E-2</v>
      </c>
      <c r="I36" s="6"/>
      <c r="J36" s="6"/>
    </row>
    <row r="37" spans="1:10" x14ac:dyDescent="0.3">
      <c r="A37" s="2">
        <v>45979</v>
      </c>
      <c r="B37" s="3">
        <v>-7.4780332807222467E-5</v>
      </c>
      <c r="C37" s="3">
        <v>-2.848328221396982E-2</v>
      </c>
      <c r="D37" s="3">
        <v>-1.8934863444587675E-2</v>
      </c>
      <c r="E37" s="3">
        <v>3.7523496185503718E-3</v>
      </c>
      <c r="F37" s="3">
        <v>-5.8823531107937916E-4</v>
      </c>
      <c r="G37" s="3">
        <v>-8.290659863030455E-3</v>
      </c>
      <c r="H37" s="3">
        <f>(Sheet1!$Y$19*' Rolling-window portfolio analy'!B37+Sheet1!$Z$19*' Rolling-window portfolio analy'!C37+Sheet1!$AA$19*' Rolling-window portfolio analy'!D37+Sheet1!$AB$19*' Rolling-window portfolio analy'!E37+Sheet1!$AC$19*' Rolling-window portfolio analy'!F37)</f>
        <v>-1.834336806617742E-2</v>
      </c>
      <c r="I37" s="6"/>
      <c r="J37" s="6"/>
    </row>
    <row r="38" spans="1:10" x14ac:dyDescent="0.3">
      <c r="A38" s="2">
        <v>45978</v>
      </c>
      <c r="B38" s="3">
        <v>-1.8338261876415136E-2</v>
      </c>
      <c r="C38" s="3">
        <v>-1.8951120550941194E-2</v>
      </c>
      <c r="D38" s="3">
        <v>1.1238698346982101E-2</v>
      </c>
      <c r="E38" s="3">
        <v>-1.7596976165642327E-2</v>
      </c>
      <c r="F38" s="3">
        <v>-2.5832230189277407E-2</v>
      </c>
      <c r="G38" s="3">
        <v>-9.2045416140541063E-3</v>
      </c>
      <c r="H38" s="3">
        <f>(Sheet1!$Y$19*' Rolling-window portfolio analy'!B38+Sheet1!$Z$19*' Rolling-window portfolio analy'!C38+Sheet1!$AA$19*' Rolling-window portfolio analy'!D38+Sheet1!$AB$19*' Rolling-window portfolio analy'!E38+Sheet1!$AC$19*' Rolling-window portfolio analy'!F38)</f>
        <v>-1.8615503839308625E-2</v>
      </c>
      <c r="I38" s="6"/>
      <c r="J38" s="6"/>
    </row>
    <row r="39" spans="1:10" x14ac:dyDescent="0.3">
      <c r="A39" s="2">
        <v>45975</v>
      </c>
      <c r="B39" s="3">
        <v>-1.9803439067010314E-3</v>
      </c>
      <c r="C39" s="3">
        <v>1.7558735599375073E-2</v>
      </c>
      <c r="D39" s="3">
        <v>5.8536268541041414E-3</v>
      </c>
      <c r="E39" s="3">
        <v>2.5354641656584864E-2</v>
      </c>
      <c r="F39" s="3">
        <v>5.7323016760247149E-4</v>
      </c>
      <c r="G39" s="3">
        <v>-5.0179638215562831E-4</v>
      </c>
      <c r="H39" s="3">
        <f>(Sheet1!$Y$19*' Rolling-window portfolio analy'!B39+Sheet1!$Z$19*' Rolling-window portfolio analy'!C39+Sheet1!$AA$19*' Rolling-window portfolio analy'!D39+Sheet1!$AB$19*' Rolling-window portfolio analy'!E39+Sheet1!$AC$19*' Rolling-window portfolio analy'!F39)</f>
        <v>1.3418003457130427E-2</v>
      </c>
      <c r="I39" s="6"/>
      <c r="J39" s="6"/>
    </row>
    <row r="40" spans="1:10" x14ac:dyDescent="0.3">
      <c r="A40" s="2">
        <v>45974</v>
      </c>
      <c r="B40" s="3">
        <v>-1.903298404073698E-3</v>
      </c>
      <c r="C40" s="3">
        <v>-3.6467026091856238E-2</v>
      </c>
      <c r="D40" s="3">
        <v>-6.8752372242535609E-2</v>
      </c>
      <c r="E40" s="3">
        <v>-4.2087542708813788E-4</v>
      </c>
      <c r="F40" s="3">
        <v>-1.4515695316593082E-2</v>
      </c>
      <c r="G40" s="3">
        <v>-1.6695497821198804E-2</v>
      </c>
      <c r="H40" s="3">
        <f>(Sheet1!$Y$19*' Rolling-window portfolio analy'!B40+Sheet1!$Z$19*' Rolling-window portfolio analy'!C40+Sheet1!$AA$19*' Rolling-window portfolio analy'!D40+Sheet1!$AB$19*' Rolling-window portfolio analy'!E40+Sheet1!$AC$19*' Rolling-window portfolio analy'!F40)</f>
        <v>-2.4510817707449777E-2</v>
      </c>
      <c r="I40" s="6"/>
      <c r="J40" s="6"/>
    </row>
    <row r="41" spans="1:10" x14ac:dyDescent="0.3">
      <c r="A41" s="2">
        <v>45973</v>
      </c>
      <c r="B41" s="3">
        <v>-6.4878489709490634E-3</v>
      </c>
      <c r="C41" s="3">
        <v>3.3078384513247692E-3</v>
      </c>
      <c r="D41" s="3">
        <v>-2.0731132469664827E-2</v>
      </c>
      <c r="E41" s="3">
        <v>-2.9438278350601414E-2</v>
      </c>
      <c r="F41" s="3">
        <v>1.1652824766916148E-2</v>
      </c>
      <c r="G41" s="3">
        <v>6.2931056069833119E-4</v>
      </c>
      <c r="H41" s="3">
        <f>(Sheet1!$Y$19*' Rolling-window portfolio analy'!B41+Sheet1!$Z$19*' Rolling-window portfolio analy'!C41+Sheet1!$AA$19*' Rolling-window portfolio analy'!D41+Sheet1!$AB$19*' Rolling-window portfolio analy'!E41+Sheet1!$AC$19*' Rolling-window portfolio analy'!F41)</f>
        <v>-2.2780986152438885E-3</v>
      </c>
      <c r="I41" s="6"/>
      <c r="J41" s="6"/>
    </row>
    <row r="42" spans="1:10" x14ac:dyDescent="0.3">
      <c r="A42" s="2">
        <v>45972</v>
      </c>
      <c r="B42" s="3">
        <v>2.1371159251821259E-2</v>
      </c>
      <c r="C42" s="3">
        <v>-3.003718844098513E-2</v>
      </c>
      <c r="D42" s="3">
        <v>-1.2680285175909176E-2</v>
      </c>
      <c r="E42" s="3">
        <v>3.0690561174179687E-3</v>
      </c>
      <c r="F42" s="3">
        <v>-3.9942991764599228E-3</v>
      </c>
      <c r="G42" s="3">
        <v>2.0732456487022851E-3</v>
      </c>
      <c r="H42" s="3">
        <f>(Sheet1!$Y$19*' Rolling-window portfolio analy'!B42+Sheet1!$Z$19*' Rolling-window portfolio analy'!C42+Sheet1!$AA$19*' Rolling-window portfolio analy'!D42+Sheet1!$AB$19*' Rolling-window portfolio analy'!E42+Sheet1!$AC$19*' Rolling-window portfolio analy'!F42)</f>
        <v>-1.4080864663681998E-2</v>
      </c>
      <c r="I42" s="6"/>
      <c r="J42" s="6"/>
    </row>
    <row r="43" spans="1:10" x14ac:dyDescent="0.3">
      <c r="A43" s="2">
        <v>45971</v>
      </c>
      <c r="B43" s="3">
        <v>3.5694404880914532E-3</v>
      </c>
      <c r="C43" s="3">
        <v>5.6316532406880018E-2</v>
      </c>
      <c r="D43" s="3">
        <v>3.5922696461522546E-2</v>
      </c>
      <c r="E43" s="3">
        <v>1.9241309454683858E-2</v>
      </c>
      <c r="F43" s="3">
        <v>-6.2446981246345994E-3</v>
      </c>
      <c r="G43" s="3">
        <v>1.5283571949665772E-2</v>
      </c>
      <c r="H43" s="3">
        <f>(Sheet1!$Y$19*' Rolling-window portfolio analy'!B43+Sheet1!$Z$19*' Rolling-window portfolio analy'!C43+Sheet1!$AA$19*' Rolling-window portfolio analy'!D43+Sheet1!$AB$19*' Rolling-window portfolio analy'!E43+Sheet1!$AC$19*' Rolling-window portfolio analy'!F43)</f>
        <v>3.9645277502015942E-2</v>
      </c>
      <c r="I43" s="6"/>
      <c r="J43" s="6"/>
    </row>
    <row r="44" spans="1:10" x14ac:dyDescent="0.3">
      <c r="A44" s="2">
        <v>45968</v>
      </c>
      <c r="B44" s="3">
        <v>-4.8305682516764535E-3</v>
      </c>
      <c r="C44" s="3">
        <v>3.7211280763218863E-4</v>
      </c>
      <c r="D44" s="3">
        <v>-3.7448831820684383E-2</v>
      </c>
      <c r="E44" s="3">
        <v>1.2190146748633307E-2</v>
      </c>
      <c r="F44" s="3">
        <v>5.1063940745742767E-3</v>
      </c>
      <c r="G44" s="3">
        <v>1.2610492171643028E-3</v>
      </c>
      <c r="H44" s="3">
        <f>(Sheet1!$Y$19*' Rolling-window portfolio analy'!B44+Sheet1!$Z$19*' Rolling-window portfolio analy'!C44+Sheet1!$AA$19*' Rolling-window portfolio analy'!D44+Sheet1!$AB$19*' Rolling-window portfolio analy'!E44+Sheet1!$AC$19*' Rolling-window portfolio analy'!F44)</f>
        <v>1.3077038587306061E-4</v>
      </c>
      <c r="I44" s="6"/>
      <c r="J44" s="6"/>
    </row>
    <row r="45" spans="1:10" x14ac:dyDescent="0.3">
      <c r="A45" s="2">
        <v>45967</v>
      </c>
      <c r="B45" s="3">
        <v>-1.3705990180649203E-3</v>
      </c>
      <c r="C45" s="3">
        <v>-3.7208497943188312E-2</v>
      </c>
      <c r="D45" s="3">
        <v>-3.5599256820994296E-2</v>
      </c>
      <c r="E45" s="3">
        <v>5.3005530654128335E-3</v>
      </c>
      <c r="F45" s="3">
        <v>-4.5403029187830977E-3</v>
      </c>
      <c r="G45" s="3">
        <v>-1.1241102610422679E-2</v>
      </c>
      <c r="H45" s="3">
        <f>(Sheet1!$Y$19*' Rolling-window portfolio analy'!B45+Sheet1!$Z$19*' Rolling-window portfolio analy'!C45+Sheet1!$AA$19*' Rolling-window portfolio analy'!D45+Sheet1!$AB$19*' Rolling-window portfolio analy'!E45+Sheet1!$AC$19*' Rolling-window portfolio analy'!F45)</f>
        <v>-2.4260876566149715E-2</v>
      </c>
      <c r="I45" s="6"/>
      <c r="J45" s="6"/>
    </row>
    <row r="46" spans="1:10" x14ac:dyDescent="0.3">
      <c r="A46" s="2">
        <v>45966</v>
      </c>
      <c r="B46" s="3">
        <v>3.7024695894810876E-4</v>
      </c>
      <c r="C46" s="3">
        <v>-1.7669918989995363E-2</v>
      </c>
      <c r="D46" s="3">
        <v>3.9306418126516383E-2</v>
      </c>
      <c r="E46" s="3">
        <v>2.3009293772234912E-2</v>
      </c>
      <c r="F46" s="3">
        <v>-1.4615212370970489E-2</v>
      </c>
      <c r="G46" s="3">
        <v>3.6468630849652776E-3</v>
      </c>
      <c r="H46" s="3">
        <f>(Sheet1!$Y$19*' Rolling-window portfolio analy'!B46+Sheet1!$Z$19*' Rolling-window portfolio analy'!C46+Sheet1!$AA$19*' Rolling-window portfolio analy'!D46+Sheet1!$AB$19*' Rolling-window portfolio analy'!E46+Sheet1!$AC$19*' Rolling-window portfolio analy'!F46)</f>
        <v>-9.2214469499471863E-3</v>
      </c>
      <c r="I46" s="6"/>
      <c r="J46" s="6"/>
    </row>
    <row r="47" spans="1:10" x14ac:dyDescent="0.3">
      <c r="A47" s="2">
        <v>45965</v>
      </c>
      <c r="B47" s="3">
        <v>3.6728602382412124E-3</v>
      </c>
      <c r="C47" s="3">
        <v>-4.0393093858549521E-2</v>
      </c>
      <c r="D47" s="3">
        <v>-5.2848605220562457E-2</v>
      </c>
      <c r="E47" s="3">
        <v>-5.645722783977495E-2</v>
      </c>
      <c r="F47" s="3">
        <v>2.7905678986747684E-4</v>
      </c>
      <c r="G47" s="3">
        <v>-1.1806190194192139E-2</v>
      </c>
      <c r="H47" s="3">
        <f>(Sheet1!$Y$19*' Rolling-window portfolio analy'!B47+Sheet1!$Z$19*' Rolling-window portfolio analy'!C47+Sheet1!$AA$19*' Rolling-window portfolio analy'!D47+Sheet1!$AB$19*' Rolling-window portfolio analy'!E47+Sheet1!$AC$19*' Rolling-window portfolio analy'!F47)</f>
        <v>-3.0981104669854462E-2</v>
      </c>
      <c r="I47" s="6"/>
      <c r="J47" s="6"/>
    </row>
    <row r="48" spans="1:10" x14ac:dyDescent="0.3">
      <c r="A48" s="2">
        <v>45964</v>
      </c>
      <c r="B48" s="3">
        <v>-4.8941553327728152E-3</v>
      </c>
      <c r="C48" s="3">
        <v>2.1448412412369298E-2</v>
      </c>
      <c r="D48" s="3">
        <v>2.5538455621586277E-2</v>
      </c>
      <c r="E48" s="3">
        <v>4.7398337063087638E-3</v>
      </c>
      <c r="F48" s="3">
        <v>-5.2888084309476828E-3</v>
      </c>
      <c r="G48" s="3">
        <v>1.7192311955086541E-3</v>
      </c>
      <c r="H48" s="3">
        <f>(Sheet1!$Y$19*' Rolling-window portfolio analy'!B48+Sheet1!$Z$19*' Rolling-window portfolio analy'!C48+Sheet1!$AA$19*' Rolling-window portfolio analy'!D48+Sheet1!$AB$19*' Rolling-window portfolio analy'!E48+Sheet1!$AC$19*' Rolling-window portfolio analy'!F48)</f>
        <v>1.3319903902962126E-2</v>
      </c>
      <c r="I48" s="6"/>
      <c r="J48" s="6"/>
    </row>
    <row r="49" spans="1:10" x14ac:dyDescent="0.3">
      <c r="A49" s="2">
        <v>45961</v>
      </c>
      <c r="B49" s="3">
        <v>-3.8023561325672382E-3</v>
      </c>
      <c r="C49" s="3">
        <v>-1.97345764378013E-3</v>
      </c>
      <c r="D49" s="3">
        <v>3.671815241140685E-2</v>
      </c>
      <c r="E49" s="3">
        <v>-3.5055196224234629E-3</v>
      </c>
      <c r="F49" s="3">
        <v>1.0605737145201466E-2</v>
      </c>
      <c r="G49" s="3">
        <v>2.6144494615600103E-3</v>
      </c>
      <c r="H49" s="3">
        <f>(Sheet1!$Y$19*' Rolling-window portfolio analy'!B49+Sheet1!$Z$19*' Rolling-window portfolio analy'!C49+Sheet1!$AA$19*' Rolling-window portfolio analy'!D49+Sheet1!$AB$19*' Rolling-window portfolio analy'!E49+Sheet1!$AC$19*' Rolling-window portfolio analy'!F49)</f>
        <v>-2.5034321252466337E-3</v>
      </c>
      <c r="I49" s="6"/>
      <c r="J49" s="6"/>
    </row>
    <row r="50" spans="1:10" x14ac:dyDescent="0.3">
      <c r="A50" s="2">
        <v>45960</v>
      </c>
      <c r="B50" s="3">
        <v>6.2835172550845036E-3</v>
      </c>
      <c r="C50" s="3">
        <v>-2.0248051057577456E-2</v>
      </c>
      <c r="D50" s="3">
        <v>-4.7501748363475808E-2</v>
      </c>
      <c r="E50" s="3">
        <v>5.366369947467E-3</v>
      </c>
      <c r="F50" s="3">
        <v>9.5856386633576679E-3</v>
      </c>
      <c r="G50" s="3">
        <v>-9.9541911976876295E-3</v>
      </c>
      <c r="H50" s="3">
        <f>(Sheet1!$Y$19*' Rolling-window portfolio analy'!B50+Sheet1!$Z$19*' Rolling-window portfolio analy'!C50+Sheet1!$AA$19*' Rolling-window portfolio analy'!D50+Sheet1!$AB$19*' Rolling-window portfolio analy'!E50+Sheet1!$AC$19*' Rolling-window portfolio analy'!F50)</f>
        <v>-1.1269737231052863E-2</v>
      </c>
      <c r="I50" s="6"/>
      <c r="J50" s="6"/>
    </row>
    <row r="51" spans="1:10" x14ac:dyDescent="0.3">
      <c r="A51" s="2">
        <v>45959</v>
      </c>
      <c r="B51" s="3">
        <v>2.5988505438451492E-3</v>
      </c>
      <c r="C51" s="3">
        <v>2.9457860659346562E-2</v>
      </c>
      <c r="D51" s="3">
        <v>2.0822947462769224E-3</v>
      </c>
      <c r="E51" s="3">
        <v>9.5654711463323203E-3</v>
      </c>
      <c r="F51" s="3">
        <v>-1.070734377255766E-2</v>
      </c>
      <c r="G51" s="3">
        <v>-4.3536688374153406E-5</v>
      </c>
      <c r="H51" s="3">
        <f>(Sheet1!$Y$19*' Rolling-window portfolio analy'!B51+Sheet1!$Z$19*' Rolling-window portfolio analy'!C51+Sheet1!$AA$19*' Rolling-window portfolio analy'!D51+Sheet1!$AB$19*' Rolling-window portfolio analy'!E51+Sheet1!$AC$19*' Rolling-window portfolio analy'!F51)</f>
        <v>2.0841835278204685E-2</v>
      </c>
      <c r="I51" s="6"/>
      <c r="J51" s="6"/>
    </row>
    <row r="52" spans="1:10" x14ac:dyDescent="0.3">
      <c r="A52" s="2">
        <v>45958</v>
      </c>
      <c r="B52" s="3">
        <v>7.0656926388370416E-4</v>
      </c>
      <c r="C52" s="3">
        <v>4.8618562717113407E-2</v>
      </c>
      <c r="D52" s="3">
        <v>1.7810475504555157E-2</v>
      </c>
      <c r="E52" s="3">
        <v>2.6679541348627021E-2</v>
      </c>
      <c r="F52" s="3">
        <v>-8.9286307443014312E-3</v>
      </c>
      <c r="G52" s="3">
        <v>2.2853333884670069E-3</v>
      </c>
      <c r="H52" s="3">
        <f>(Sheet1!$Y$19*' Rolling-window portfolio analy'!B52+Sheet1!$Z$19*' Rolling-window portfolio analy'!C52+Sheet1!$AA$19*' Rolling-window portfolio analy'!D52+Sheet1!$AB$19*' Rolling-window portfolio analy'!E52+Sheet1!$AC$19*' Rolling-window portfolio analy'!F52)</f>
        <v>3.4566656552822643E-2</v>
      </c>
      <c r="I52" s="6"/>
      <c r="J52" s="6"/>
    </row>
    <row r="53" spans="1:10" x14ac:dyDescent="0.3">
      <c r="A53" s="2">
        <v>45957</v>
      </c>
      <c r="B53" s="3">
        <v>2.2535423122463517E-2</v>
      </c>
      <c r="C53" s="3">
        <v>2.769204084256395E-2</v>
      </c>
      <c r="D53" s="3">
        <v>4.2211787325708315E-2</v>
      </c>
      <c r="E53" s="3">
        <v>-1.4909754366287038E-2</v>
      </c>
      <c r="F53" s="3">
        <v>-3.6046067034389605E-3</v>
      </c>
      <c r="G53" s="3">
        <v>1.2215109973364811E-2</v>
      </c>
      <c r="H53" s="3">
        <f>(Sheet1!$Y$19*' Rolling-window portfolio analy'!B53+Sheet1!$Z$19*' Rolling-window portfolio analy'!C53+Sheet1!$AA$19*' Rolling-window portfolio analy'!D53+Sheet1!$AB$19*' Rolling-window portfolio analy'!E53+Sheet1!$AC$19*' Rolling-window portfolio analy'!F53)</f>
        <v>2.2394774056365814E-2</v>
      </c>
      <c r="I53" s="6"/>
      <c r="J53" s="6"/>
    </row>
    <row r="54" spans="1:10" x14ac:dyDescent="0.3">
      <c r="A54" s="2">
        <v>45954</v>
      </c>
      <c r="B54" s="3">
        <v>1.2404446955879033E-2</v>
      </c>
      <c r="C54" s="3">
        <v>2.2258125338027658E-2</v>
      </c>
      <c r="D54" s="3">
        <v>-3.4579178716340912E-2</v>
      </c>
      <c r="E54" s="3">
        <v>-3.3062581092666965E-2</v>
      </c>
      <c r="F54" s="3">
        <v>1.6746135126613253E-2</v>
      </c>
      <c r="G54" s="3">
        <v>7.8713619070685803E-3</v>
      </c>
      <c r="H54" s="3">
        <f>(Sheet1!$Y$19*' Rolling-window portfolio analy'!B54+Sheet1!$Z$19*' Rolling-window portfolio analy'!C54+Sheet1!$AA$19*' Rolling-window portfolio analy'!D54+Sheet1!$AB$19*' Rolling-window portfolio analy'!E54+Sheet1!$AC$19*' Rolling-window portfolio analy'!F54)</f>
        <v>1.4456838733738443E-2</v>
      </c>
      <c r="I54" s="6"/>
      <c r="J54" s="6"/>
    </row>
    <row r="55" spans="1:10" x14ac:dyDescent="0.3">
      <c r="A55" s="2">
        <v>45953</v>
      </c>
      <c r="B55" s="3">
        <v>4.3626886175645412E-3</v>
      </c>
      <c r="C55" s="3">
        <v>1.0374223933036669E-2</v>
      </c>
      <c r="D55" s="3">
        <v>2.2547269710079459E-2</v>
      </c>
      <c r="E55" s="3">
        <v>3.3062581092667034E-2</v>
      </c>
      <c r="F55" s="3">
        <v>-1.0916833401063166E-2</v>
      </c>
      <c r="G55" s="3">
        <v>5.8104739805954339E-3</v>
      </c>
      <c r="H55" s="3">
        <f>(Sheet1!$Y$19*' Rolling-window portfolio analy'!B55+Sheet1!$Z$19*' Rolling-window portfolio analy'!C55+Sheet1!$AA$19*' Rolling-window portfolio analy'!D55+Sheet1!$AB$19*' Rolling-window portfolio analy'!E55+Sheet1!$AC$19*' Rolling-window portfolio analy'!F55)</f>
        <v>1.1053572481063622E-2</v>
      </c>
      <c r="I55" s="6"/>
      <c r="J55" s="6"/>
    </row>
    <row r="56" spans="1:10" x14ac:dyDescent="0.3">
      <c r="A56" s="2">
        <v>45952</v>
      </c>
      <c r="B56" s="3">
        <v>-1.6576873201058953E-2</v>
      </c>
      <c r="C56" s="3">
        <v>-4.8694208655655552E-3</v>
      </c>
      <c r="D56" s="3">
        <v>-8.235354006706502E-3</v>
      </c>
      <c r="E56" s="3">
        <v>1.1696039763191236E-2</v>
      </c>
      <c r="F56" s="3">
        <v>5.3035713986804931E-3</v>
      </c>
      <c r="G56" s="3">
        <v>-5.3518056988170791E-3</v>
      </c>
      <c r="H56" s="3">
        <f>(Sheet1!$Y$19*' Rolling-window portfolio analy'!B56+Sheet1!$Z$19*' Rolling-window portfolio analy'!C56+Sheet1!$AA$19*' Rolling-window portfolio analy'!D56+Sheet1!$AB$19*' Rolling-window portfolio analy'!E56+Sheet1!$AC$19*' Rolling-window portfolio analy'!F56)</f>
        <v>-6.2155523485062179E-3</v>
      </c>
      <c r="I56" s="6"/>
      <c r="J56" s="6"/>
    </row>
    <row r="57" spans="1:10" x14ac:dyDescent="0.3">
      <c r="A57" s="2">
        <v>45951</v>
      </c>
      <c r="B57" s="3">
        <v>2.0190098475877521E-3</v>
      </c>
      <c r="C57" s="3">
        <v>-8.1363835335269506E-3</v>
      </c>
      <c r="D57" s="3">
        <v>-1.0853673281354382E-2</v>
      </c>
      <c r="E57" s="3">
        <v>1.0104353409220166E-2</v>
      </c>
      <c r="F57" s="3">
        <v>-2.5968310047916394E-2</v>
      </c>
      <c r="G57" s="3">
        <v>3.2664017914663565E-5</v>
      </c>
      <c r="H57" s="3">
        <f>(Sheet1!$Y$19*' Rolling-window portfolio analy'!B57+Sheet1!$Z$19*' Rolling-window portfolio analy'!C57+Sheet1!$AA$19*' Rolling-window portfolio analy'!D57+Sheet1!$AB$19*' Rolling-window portfolio analy'!E57+Sheet1!$AC$19*' Rolling-window portfolio analy'!F57)</f>
        <v>-3.8855119324413632E-3</v>
      </c>
      <c r="I57" s="6"/>
      <c r="J57" s="6"/>
    </row>
    <row r="58" spans="1:10" x14ac:dyDescent="0.3">
      <c r="A58" s="2">
        <v>45950</v>
      </c>
      <c r="B58" s="3">
        <v>3.8680895488745502E-2</v>
      </c>
      <c r="C58" s="3">
        <v>-3.1706143655225736E-3</v>
      </c>
      <c r="D58" s="3">
        <v>1.8314786688287826E-2</v>
      </c>
      <c r="E58" s="3">
        <v>2.4055391285618666E-2</v>
      </c>
      <c r="F58" s="3">
        <v>1.9107416759139807E-3</v>
      </c>
      <c r="G58" s="3">
        <v>1.0615706365319902E-2</v>
      </c>
      <c r="H58" s="3">
        <f>(Sheet1!$Y$19*' Rolling-window portfolio analy'!B58+Sheet1!$Z$19*' Rolling-window portfolio analy'!C58+Sheet1!$AA$19*' Rolling-window portfolio analy'!D58+Sheet1!$AB$19*' Rolling-window portfolio analy'!E58+Sheet1!$AC$19*' Rolling-window portfolio analy'!F58)</f>
        <v>9.8587736265958945E-3</v>
      </c>
      <c r="I58" s="6"/>
      <c r="J58" s="6"/>
    </row>
    <row r="59" spans="1:10" x14ac:dyDescent="0.3">
      <c r="A59" s="2">
        <v>45947</v>
      </c>
      <c r="B59" s="3">
        <v>1.9370678108879068E-2</v>
      </c>
      <c r="C59" s="3">
        <v>7.7254308558810866E-3</v>
      </c>
      <c r="D59" s="3">
        <v>2.4331315729866188E-2</v>
      </c>
      <c r="E59" s="3">
        <v>1.2024192966801591E-2</v>
      </c>
      <c r="F59" s="3">
        <v>1.6807118316381191E-2</v>
      </c>
      <c r="G59" s="3">
        <v>5.2568825980633324E-3</v>
      </c>
      <c r="H59" s="3">
        <f>(Sheet1!$Y$19*' Rolling-window portfolio analy'!B59+Sheet1!$Z$19*' Rolling-window portfolio analy'!C59+Sheet1!$AA$19*' Rolling-window portfolio analy'!D59+Sheet1!$AB$19*' Rolling-window portfolio analy'!E59+Sheet1!$AC$19*' Rolling-window portfolio analy'!F59)</f>
        <v>1.1059301940932461E-2</v>
      </c>
      <c r="I59" s="6"/>
      <c r="J59" s="6"/>
    </row>
    <row r="60" spans="1:10" x14ac:dyDescent="0.3">
      <c r="A60" s="2">
        <v>45946</v>
      </c>
      <c r="B60" s="3">
        <v>-7.6088855189339194E-3</v>
      </c>
      <c r="C60" s="3">
        <v>1.0950225554075873E-2</v>
      </c>
      <c r="D60" s="3">
        <v>-1.4816800755373014E-2</v>
      </c>
      <c r="E60" s="3">
        <v>3.8155135504504729E-3</v>
      </c>
      <c r="F60" s="3">
        <v>-6.9223590838392007E-3</v>
      </c>
      <c r="G60" s="3">
        <v>-6.3142449751388335E-3</v>
      </c>
      <c r="H60" s="3">
        <f>(Sheet1!$Y$19*' Rolling-window portfolio analy'!B60+Sheet1!$Z$19*' Rolling-window portfolio analy'!C60+Sheet1!$AA$19*' Rolling-window portfolio analy'!D60+Sheet1!$AB$19*' Rolling-window portfolio analy'!E60+Sheet1!$AC$19*' Rolling-window portfolio analy'!F60)</f>
        <v>5.6113611794235841E-3</v>
      </c>
      <c r="I60" s="6"/>
      <c r="J60" s="6"/>
    </row>
    <row r="61" spans="1:10" x14ac:dyDescent="0.3">
      <c r="A61" s="2">
        <v>45945</v>
      </c>
      <c r="B61" s="3">
        <v>6.3165304260936386E-3</v>
      </c>
      <c r="C61" s="3">
        <v>-1.1115434924256463E-3</v>
      </c>
      <c r="D61" s="3">
        <v>1.3674596176595898E-2</v>
      </c>
      <c r="E61" s="3">
        <v>-8.0627536447429975E-3</v>
      </c>
      <c r="F61" s="3">
        <v>3.0399360152297793E-3</v>
      </c>
      <c r="G61" s="3">
        <v>4.0179185387894355E-3</v>
      </c>
      <c r="H61" s="3">
        <f>(Sheet1!$Y$19*' Rolling-window portfolio analy'!B61+Sheet1!$Z$19*' Rolling-window portfolio analy'!C61+Sheet1!$AA$19*' Rolling-window portfolio analy'!D61+Sheet1!$AB$19*' Rolling-window portfolio analy'!E61+Sheet1!$AC$19*' Rolling-window portfolio analy'!F61)</f>
        <v>1.0310882068649205E-4</v>
      </c>
      <c r="I61" s="6"/>
      <c r="J61" s="6"/>
    </row>
    <row r="62" spans="1:10" x14ac:dyDescent="0.3">
      <c r="A62" s="2">
        <v>45944</v>
      </c>
      <c r="B62" s="3">
        <v>4.440587037828413E-4</v>
      </c>
      <c r="C62" s="3">
        <v>-4.5019139842435364E-2</v>
      </c>
      <c r="D62" s="3">
        <v>-1.5396656185420139E-2</v>
      </c>
      <c r="E62" s="3">
        <v>-1.4614963414564704E-2</v>
      </c>
      <c r="F62" s="3">
        <v>1.5620959199185019E-2</v>
      </c>
      <c r="G62" s="3">
        <v>-1.565528031162684E-3</v>
      </c>
      <c r="H62" s="3">
        <f>(Sheet1!$Y$19*' Rolling-window portfolio analy'!B62+Sheet1!$Z$19*' Rolling-window portfolio analy'!C62+Sheet1!$AA$19*' Rolling-window portfolio analy'!D62+Sheet1!$AB$19*' Rolling-window portfolio analy'!E62+Sheet1!$AC$19*' Rolling-window portfolio analy'!F62)</f>
        <v>-3.0775345483529084E-2</v>
      </c>
      <c r="I62" s="6">
        <f>SLOPE(H3:H62,G3:G62)</f>
        <v>1.4227262006872274</v>
      </c>
      <c r="J62" s="86">
        <f>AVERAGE(H3:H62)-($N$1+I62*(AVERAGE(G3:G62)-$N$1))</f>
        <v>-7.1386956013007232E-4</v>
      </c>
    </row>
    <row r="63" spans="1:10" x14ac:dyDescent="0.3">
      <c r="A63" s="2">
        <v>45943</v>
      </c>
      <c r="B63" s="3">
        <v>9.6971932271071818E-3</v>
      </c>
      <c r="C63" s="3">
        <v>2.7782555723071794E-2</v>
      </c>
      <c r="D63" s="3">
        <v>5.2779528869889569E-2</v>
      </c>
      <c r="E63" s="3">
        <v>9.9415377504777445E-3</v>
      </c>
      <c r="F63" s="3">
        <v>2.2516193019587734E-3</v>
      </c>
      <c r="G63" s="3">
        <v>1.5478194983781826E-2</v>
      </c>
      <c r="H63" s="3">
        <f>(Sheet1!$Y$19*' Rolling-window portfolio analy'!B63+Sheet1!$Z$19*' Rolling-window portfolio analy'!C63+Sheet1!$AA$19*' Rolling-window portfolio analy'!D63+Sheet1!$AB$19*' Rolling-window portfolio analy'!E63+Sheet1!$AC$19*' Rolling-window portfolio analy'!F63)</f>
        <v>2.1637963998653954E-2</v>
      </c>
      <c r="I63" s="6">
        <f t="shared" ref="I63:I126" si="0">SLOPE(H4:H63,G4:G63)</f>
        <v>1.4213689846982238</v>
      </c>
      <c r="J63" s="86">
        <f t="shared" ref="J63:J126" si="1">AVERAGE(H4:H63)-($N$1+I63*(AVERAGE(G4:G63)-$N$1))</f>
        <v>-5.0317914840364135E-4</v>
      </c>
    </row>
    <row r="64" spans="1:10" x14ac:dyDescent="0.3">
      <c r="A64" s="2">
        <v>45940</v>
      </c>
      <c r="B64" s="3">
        <v>-3.5132090374928697E-2</v>
      </c>
      <c r="C64" s="3">
        <v>-5.0099636202901775E-2</v>
      </c>
      <c r="D64" s="3">
        <v>-5.1953310150347105E-2</v>
      </c>
      <c r="E64" s="3">
        <v>-6.1355730523083074E-2</v>
      </c>
      <c r="F64" s="3">
        <v>-1.5655897072552796E-2</v>
      </c>
      <c r="G64" s="3">
        <v>-2.748595997057204E-2</v>
      </c>
      <c r="H64" s="3">
        <f>(Sheet1!$Y$19*' Rolling-window portfolio analy'!B64+Sheet1!$Z$19*' Rolling-window portfolio analy'!C64+Sheet1!$AA$19*' Rolling-window portfolio analy'!D64+Sheet1!$AB$19*' Rolling-window portfolio analy'!E64+Sheet1!$AC$19*' Rolling-window portfolio analy'!F64)</f>
        <v>-4.7448591288913558E-2</v>
      </c>
      <c r="I64" s="6">
        <f t="shared" si="0"/>
        <v>1.4849622749830602</v>
      </c>
      <c r="J64" s="86">
        <f t="shared" si="1"/>
        <v>-8.0553516820238455E-4</v>
      </c>
    </row>
    <row r="65" spans="1:10" x14ac:dyDescent="0.3">
      <c r="A65" s="2">
        <v>45939</v>
      </c>
      <c r="B65" s="3">
        <v>-1.5700381088925939E-2</v>
      </c>
      <c r="C65" s="3">
        <v>1.8130867652614829E-2</v>
      </c>
      <c r="D65" s="3">
        <v>-7.2063727670931164E-3</v>
      </c>
      <c r="E65" s="3">
        <v>8.3559645555470136E-4</v>
      </c>
      <c r="F65" s="3">
        <v>2.7777795639021483E-3</v>
      </c>
      <c r="G65" s="3">
        <v>-2.7593218696984716E-3</v>
      </c>
      <c r="H65" s="3">
        <f>(Sheet1!$Y$19*' Rolling-window portfolio analy'!B65+Sheet1!$Z$19*' Rolling-window portfolio analy'!C65+Sheet1!$AA$19*' Rolling-window portfolio analy'!D65+Sheet1!$AB$19*' Rolling-window portfolio analy'!E65+Sheet1!$AC$19*' Rolling-window portfolio analy'!F65)</f>
        <v>8.0310297401395715E-3</v>
      </c>
      <c r="I65" s="6">
        <f t="shared" si="0"/>
        <v>1.4973339964081316</v>
      </c>
      <c r="J65" s="86">
        <f t="shared" si="1"/>
        <v>-3.3382194607385726E-4</v>
      </c>
    </row>
    <row r="66" spans="1:10" x14ac:dyDescent="0.3">
      <c r="A66" s="2">
        <v>45938</v>
      </c>
      <c r="B66" s="3">
        <v>6.1414271624570778E-3</v>
      </c>
      <c r="C66" s="3">
        <v>2.1756838415997942E-2</v>
      </c>
      <c r="D66" s="3">
        <v>1.2847454693686654E-2</v>
      </c>
      <c r="E66" s="3">
        <v>-1.5140805675063051E-2</v>
      </c>
      <c r="F66" s="3">
        <v>-1.1120379238836206E-3</v>
      </c>
      <c r="G66" s="3">
        <v>5.8106934127934015E-3</v>
      </c>
      <c r="H66" s="3">
        <f>(Sheet1!$Y$19*' Rolling-window portfolio analy'!B66+Sheet1!$Z$19*' Rolling-window portfolio analy'!C66+Sheet1!$AA$19*' Rolling-window portfolio analy'!D66+Sheet1!$AB$19*' Rolling-window portfolio analy'!E66+Sheet1!$AC$19*' Rolling-window portfolio analy'!F66)</f>
        <v>1.4357259922682539E-2</v>
      </c>
      <c r="I66" s="6">
        <f t="shared" si="0"/>
        <v>1.5225697520940511</v>
      </c>
      <c r="J66" s="86">
        <f t="shared" si="1"/>
        <v>-5.0699670072811226E-5</v>
      </c>
    </row>
    <row r="67" spans="1:10" x14ac:dyDescent="0.3">
      <c r="A67" s="2">
        <v>45937</v>
      </c>
      <c r="B67" s="3">
        <v>-8.1844227730499413E-4</v>
      </c>
      <c r="C67" s="3">
        <v>-2.6984743019416776E-3</v>
      </c>
      <c r="D67" s="3">
        <v>-4.5498291036749759E-2</v>
      </c>
      <c r="E67" s="3">
        <v>-1.0239696268684269E-2</v>
      </c>
      <c r="F67" s="3">
        <v>-7.1982592097444079E-3</v>
      </c>
      <c r="G67" s="3">
        <v>-3.818696311234345E-3</v>
      </c>
      <c r="H67" s="3">
        <f>(Sheet1!$Y$19*' Rolling-window portfolio analy'!B67+Sheet1!$Z$19*' Rolling-window portfolio analy'!C67+Sheet1!$AA$19*' Rolling-window portfolio analy'!D67+Sheet1!$AB$19*' Rolling-window portfolio analy'!E67+Sheet1!$AC$19*' Rolling-window portfolio analy'!F67)</f>
        <v>-3.0239333028078785E-3</v>
      </c>
      <c r="I67" s="6">
        <f t="shared" si="0"/>
        <v>1.5163353098805485</v>
      </c>
      <c r="J67" s="86">
        <f t="shared" si="1"/>
        <v>-1.3299362376942783E-4</v>
      </c>
    </row>
    <row r="68" spans="1:10" x14ac:dyDescent="0.3">
      <c r="A68" s="2">
        <v>45936</v>
      </c>
      <c r="B68" s="3">
        <v>-5.1679701584425612E-3</v>
      </c>
      <c r="C68" s="3">
        <v>-1.1148148472679576E-2</v>
      </c>
      <c r="D68" s="3">
        <v>5.3054067955517092E-2</v>
      </c>
      <c r="E68" s="3">
        <v>1.1887821899273045E-2</v>
      </c>
      <c r="F68" s="3">
        <v>6.642703639900026E-3</v>
      </c>
      <c r="G68" s="3">
        <v>3.6399969738822847E-3</v>
      </c>
      <c r="H68" s="3">
        <f>(Sheet1!$Y$19*' Rolling-window portfolio analy'!B68+Sheet1!$Z$19*' Rolling-window portfolio analy'!C68+Sheet1!$AA$19*' Rolling-window portfolio analy'!D68+Sheet1!$AB$19*' Rolling-window portfolio analy'!E68+Sheet1!$AC$19*' Rolling-window portfolio analy'!F68)</f>
        <v>-7.3593315728378329E-3</v>
      </c>
      <c r="I68" s="6">
        <f t="shared" si="0"/>
        <v>1.5169873978803066</v>
      </c>
      <c r="J68" s="86">
        <f t="shared" si="1"/>
        <v>-4.3592840449910693E-4</v>
      </c>
    </row>
    <row r="69" spans="1:10" x14ac:dyDescent="0.3">
      <c r="A69" s="2">
        <v>45933</v>
      </c>
      <c r="B69" s="3">
        <v>3.4553077180894433E-3</v>
      </c>
      <c r="C69" s="3">
        <v>-6.746194345923261E-3</v>
      </c>
      <c r="D69" s="3">
        <v>-1.4252461669591017E-2</v>
      </c>
      <c r="E69" s="3">
        <v>2.0639842208514275E-3</v>
      </c>
      <c r="F69" s="3">
        <v>1.2294091700420017E-2</v>
      </c>
      <c r="G69" s="3">
        <v>6.5519382592537398E-5</v>
      </c>
      <c r="H69" s="3">
        <f>(Sheet1!$Y$19*' Rolling-window portfolio analy'!B69+Sheet1!$Z$19*' Rolling-window portfolio analy'!C69+Sheet1!$AA$19*' Rolling-window portfolio analy'!D69+Sheet1!$AB$19*' Rolling-window portfolio analy'!E69+Sheet1!$AC$19*' Rolling-window portfolio analy'!F69)</f>
        <v>-3.3871319418284974E-3</v>
      </c>
      <c r="I69" s="6">
        <f t="shared" si="0"/>
        <v>1.5177917170211872</v>
      </c>
      <c r="J69" s="86">
        <f t="shared" si="1"/>
        <v>-5.0349045754583899E-4</v>
      </c>
    </row>
    <row r="70" spans="1:10" x14ac:dyDescent="0.3">
      <c r="A70" s="2">
        <v>45932</v>
      </c>
      <c r="B70" s="3">
        <v>6.555097802094065E-3</v>
      </c>
      <c r="C70" s="3">
        <v>8.7736186118584185E-3</v>
      </c>
      <c r="D70" s="3">
        <v>-5.2409643514990563E-2</v>
      </c>
      <c r="E70" s="3">
        <v>8.2678797599399563E-4</v>
      </c>
      <c r="F70" s="3">
        <v>1.6154524470950102E-2</v>
      </c>
      <c r="G70" s="3">
        <v>6.1817818161168602E-4</v>
      </c>
      <c r="H70" s="3">
        <f>(Sheet1!$Y$19*' Rolling-window portfolio analy'!B70+Sheet1!$Z$19*' Rolling-window portfolio analy'!C70+Sheet1!$AA$19*' Rolling-window portfolio analy'!D70+Sheet1!$AB$19*' Rolling-window portfolio analy'!E70+Sheet1!$AC$19*' Rolling-window portfolio analy'!F70)</f>
        <v>7.3571031808037559E-3</v>
      </c>
      <c r="I70" s="6">
        <f t="shared" si="0"/>
        <v>1.516344563057082</v>
      </c>
      <c r="J70" s="86">
        <f t="shared" si="1"/>
        <v>-3.6035379944199952E-4</v>
      </c>
    </row>
    <row r="71" spans="1:10" x14ac:dyDescent="0.3">
      <c r="A71" s="2">
        <v>45931</v>
      </c>
      <c r="B71" s="3">
        <v>3.2151847019672259E-3</v>
      </c>
      <c r="C71" s="3">
        <v>3.531114899054744E-3</v>
      </c>
      <c r="D71" s="3">
        <v>3.2607016218810667E-2</v>
      </c>
      <c r="E71" s="3">
        <v>-7.4165976550495949E-3</v>
      </c>
      <c r="F71" s="3">
        <v>-1.4466285465582785E-2</v>
      </c>
      <c r="G71" s="3">
        <v>3.3941192284702741E-3</v>
      </c>
      <c r="H71" s="3">
        <f>(Sheet1!$Y$19*' Rolling-window portfolio analy'!B71+Sheet1!$Z$19*' Rolling-window portfolio analy'!C71+Sheet1!$AA$19*' Rolling-window portfolio analy'!D71+Sheet1!$AB$19*' Rolling-window portfolio analy'!E71+Sheet1!$AC$19*' Rolling-window portfolio analy'!F71)</f>
        <v>2.4667736997696101E-3</v>
      </c>
      <c r="I71" s="6">
        <f t="shared" si="0"/>
        <v>1.5163607339721847</v>
      </c>
      <c r="J71" s="86">
        <f t="shared" si="1"/>
        <v>-5.146263922076571E-4</v>
      </c>
    </row>
    <row r="72" spans="1:10" x14ac:dyDescent="0.3">
      <c r="A72" s="2">
        <v>45930</v>
      </c>
      <c r="B72" s="3">
        <v>7.8576203312136412E-4</v>
      </c>
      <c r="C72" s="3">
        <v>2.5677930099817125E-2</v>
      </c>
      <c r="D72" s="3">
        <v>3.4011722897895214E-3</v>
      </c>
      <c r="E72" s="3">
        <v>-3.6873322064838773E-2</v>
      </c>
      <c r="F72" s="3">
        <v>-8.9711843618659522E-3</v>
      </c>
      <c r="G72" s="3">
        <v>4.08250358961618E-3</v>
      </c>
      <c r="H72" s="3">
        <f>(Sheet1!$Y$19*' Rolling-window portfolio analy'!B72+Sheet1!$Z$19*' Rolling-window portfolio analy'!C72+Sheet1!$AA$19*' Rolling-window portfolio analy'!D72+Sheet1!$AB$19*' Rolling-window portfolio analy'!E72+Sheet1!$AC$19*' Rolling-window portfolio analy'!F72)</f>
        <v>1.3513618971508609E-2</v>
      </c>
      <c r="I72" s="6">
        <f t="shared" si="0"/>
        <v>1.5265509678608888</v>
      </c>
      <c r="J72" s="86">
        <f t="shared" si="1"/>
        <v>-3.0706587921986957E-4</v>
      </c>
    </row>
    <row r="73" spans="1:10" x14ac:dyDescent="0.3">
      <c r="A73" s="2">
        <v>45929</v>
      </c>
      <c r="B73" s="3">
        <v>-4.040092572912473E-3</v>
      </c>
      <c r="C73" s="3">
        <v>2.0331774693674635E-2</v>
      </c>
      <c r="D73" s="3">
        <v>6.36029350689973E-3</v>
      </c>
      <c r="E73" s="3">
        <v>5.9364798418989819E-4</v>
      </c>
      <c r="F73" s="3">
        <v>5.2130932297758462E-2</v>
      </c>
      <c r="G73" s="3">
        <v>2.6321125222386276E-3</v>
      </c>
      <c r="H73" s="3">
        <f>(Sheet1!$Y$19*' Rolling-window portfolio analy'!B73+Sheet1!$Z$19*' Rolling-window portfolio analy'!C73+Sheet1!$AA$19*' Rolling-window portfolio analy'!D73+Sheet1!$AB$19*' Rolling-window portfolio analy'!E73+Sheet1!$AC$19*' Rolling-window portfolio analy'!F73)</f>
        <v>1.2373202422181616E-2</v>
      </c>
      <c r="I73" s="6">
        <f t="shared" si="0"/>
        <v>1.5176540755156329</v>
      </c>
      <c r="J73" s="86">
        <f t="shared" si="1"/>
        <v>-3.797405199402909E-4</v>
      </c>
    </row>
    <row r="74" spans="1:10" x14ac:dyDescent="0.3">
      <c r="A74" s="2">
        <v>45926</v>
      </c>
      <c r="B74" s="3">
        <v>-5.5042787262334567E-3</v>
      </c>
      <c r="C74" s="3">
        <v>2.8099377823398229E-3</v>
      </c>
      <c r="D74" s="3">
        <v>3.9389664754499669E-2</v>
      </c>
      <c r="E74" s="3">
        <v>8.3482893914712444E-3</v>
      </c>
      <c r="F74" s="3">
        <v>6.7856876394500115E-3</v>
      </c>
      <c r="G74" s="3">
        <v>5.8844922610819797E-3</v>
      </c>
      <c r="H74" s="3">
        <f>(Sheet1!$Y$19*' Rolling-window portfolio analy'!B74+Sheet1!$Z$19*' Rolling-window portfolio analy'!C74+Sheet1!$AA$19*' Rolling-window portfolio analy'!D74+Sheet1!$AB$19*' Rolling-window portfolio analy'!E74+Sheet1!$AC$19*' Rolling-window portfolio analy'!F74)</f>
        <v>1.3340523388672724E-3</v>
      </c>
      <c r="I74" s="6">
        <f t="shared" si="0"/>
        <v>1.5083056010131182</v>
      </c>
      <c r="J74" s="86">
        <f t="shared" si="1"/>
        <v>-4.909502225000803E-4</v>
      </c>
    </row>
    <row r="75" spans="1:10" x14ac:dyDescent="0.3">
      <c r="A75" s="2">
        <v>45925</v>
      </c>
      <c r="B75" s="3">
        <v>1.7911630124575698E-2</v>
      </c>
      <c r="C75" s="3">
        <v>4.0602322738898374E-3</v>
      </c>
      <c r="D75" s="3">
        <v>-4.4801876926275228E-2</v>
      </c>
      <c r="E75" s="3">
        <v>4.6013885327879289E-3</v>
      </c>
      <c r="F75" s="3">
        <v>-1.1834320907802161E-3</v>
      </c>
      <c r="G75" s="3">
        <v>-5.0216489054652645E-3</v>
      </c>
      <c r="H75" s="3">
        <f>(Sheet1!$Y$19*' Rolling-window portfolio analy'!B75+Sheet1!$Z$19*' Rolling-window portfolio analy'!C75+Sheet1!$AA$19*' Rolling-window portfolio analy'!D75+Sheet1!$AB$19*' Rolling-window portfolio analy'!E75+Sheet1!$AC$19*' Rolling-window portfolio analy'!F75)</f>
        <v>7.4675488679845602E-3</v>
      </c>
      <c r="I75" s="6">
        <f t="shared" si="0"/>
        <v>1.4552059396455799</v>
      </c>
      <c r="J75" s="86">
        <f t="shared" si="1"/>
        <v>-4.6182446123932126E-4</v>
      </c>
    </row>
    <row r="76" spans="1:10" x14ac:dyDescent="0.3">
      <c r="A76" s="2">
        <v>45924</v>
      </c>
      <c r="B76" s="3">
        <v>-8.367258825429779E-3</v>
      </c>
      <c r="C76" s="3">
        <v>-8.2161407602438057E-3</v>
      </c>
      <c r="D76" s="3">
        <v>3.9008445433210519E-2</v>
      </c>
      <c r="E76" s="3">
        <v>1.9028914256999045E-2</v>
      </c>
      <c r="F76" s="3">
        <v>-7.3648882024409642E-3</v>
      </c>
      <c r="G76" s="3">
        <v>-2.8507212670841439E-3</v>
      </c>
      <c r="H76" s="3">
        <f>(Sheet1!$Y$19*' Rolling-window portfolio analy'!B76+Sheet1!$Z$19*' Rolling-window portfolio analy'!C76+Sheet1!$AA$19*' Rolling-window portfolio analy'!D76+Sheet1!$AB$19*' Rolling-window portfolio analy'!E76+Sheet1!$AC$19*' Rolling-window portfolio analy'!F76)</f>
        <v>-5.5835849879000985E-3</v>
      </c>
      <c r="I76" s="6">
        <f t="shared" si="0"/>
        <v>1.4562714896034925</v>
      </c>
      <c r="J76" s="86">
        <f t="shared" si="1"/>
        <v>-4.7390046168821779E-4</v>
      </c>
    </row>
    <row r="77" spans="1:10" x14ac:dyDescent="0.3">
      <c r="A77" s="2">
        <v>45923</v>
      </c>
      <c r="B77" s="3">
        <v>-6.4641466198891257E-3</v>
      </c>
      <c r="C77" s="3">
        <v>-2.8617575490758253E-2</v>
      </c>
      <c r="D77" s="3">
        <v>-1.9441116453249467E-2</v>
      </c>
      <c r="E77" s="3">
        <v>2.6088436084297874E-2</v>
      </c>
      <c r="F77" s="3">
        <v>2.586735575043218E-2</v>
      </c>
      <c r="G77" s="3">
        <v>-5.517340092831724E-3</v>
      </c>
      <c r="H77" s="3">
        <f>(Sheet1!$Y$19*' Rolling-window portfolio analy'!B77+Sheet1!$Z$19*' Rolling-window portfolio analy'!C77+Sheet1!$AA$19*' Rolling-window portfolio analy'!D77+Sheet1!$AB$19*' Rolling-window portfolio analy'!E77+Sheet1!$AC$19*' Rolling-window portfolio analy'!F77)</f>
        <v>-1.7902306003517096E-2</v>
      </c>
      <c r="I77" s="6">
        <f t="shared" si="0"/>
        <v>1.4387535656622099</v>
      </c>
      <c r="J77" s="86">
        <f t="shared" si="1"/>
        <v>-4.6117319222996382E-4</v>
      </c>
    </row>
    <row r="78" spans="1:10" x14ac:dyDescent="0.3">
      <c r="A78" s="2">
        <v>45922</v>
      </c>
      <c r="B78" s="3">
        <v>4.2192948427032299E-2</v>
      </c>
      <c r="C78" s="3">
        <v>3.8530357309506651E-2</v>
      </c>
      <c r="D78" s="3">
        <v>1.8924636021071674E-2</v>
      </c>
      <c r="E78" s="3">
        <v>6.9466651308964693E-3</v>
      </c>
      <c r="F78" s="3">
        <v>6.6485587909902114E-3</v>
      </c>
      <c r="G78" s="3">
        <v>4.4003301998515008E-3</v>
      </c>
      <c r="H78" s="3">
        <f>(Sheet1!$Y$19*' Rolling-window portfolio analy'!B78+Sheet1!$Z$19*' Rolling-window portfolio analy'!C78+Sheet1!$AA$19*' Rolling-window portfolio analy'!D78+Sheet1!$AB$19*' Rolling-window portfolio analy'!E78+Sheet1!$AC$19*' Rolling-window portfolio analy'!F78)</f>
        <v>3.6409567750347455E-2</v>
      </c>
      <c r="I78" s="6">
        <f t="shared" si="0"/>
        <v>1.47621179214436</v>
      </c>
      <c r="J78" s="86">
        <f t="shared" si="1"/>
        <v>-5.745333258296481E-5</v>
      </c>
    </row>
    <row r="79" spans="1:10" x14ac:dyDescent="0.3">
      <c r="A79" s="2">
        <v>45919</v>
      </c>
      <c r="B79" s="3">
        <v>3.1530602396182335E-2</v>
      </c>
      <c r="C79" s="3">
        <v>2.4368831305012152E-3</v>
      </c>
      <c r="D79" s="3">
        <v>2.1877207162645185E-2</v>
      </c>
      <c r="E79" s="3">
        <v>1.2682309879951483E-3</v>
      </c>
      <c r="F79" s="3">
        <v>-1.355238330055448E-2</v>
      </c>
      <c r="G79" s="3">
        <v>4.87353856235327E-3</v>
      </c>
      <c r="H79" s="3">
        <f>(Sheet1!$Y$19*' Rolling-window portfolio analy'!B79+Sheet1!$Z$19*' Rolling-window portfolio analy'!C79+Sheet1!$AA$19*' Rolling-window portfolio analy'!D79+Sheet1!$AB$19*' Rolling-window portfolio analy'!E79+Sheet1!$AC$19*' Rolling-window portfolio analy'!F79)</f>
        <v>9.5963826908264452E-3</v>
      </c>
      <c r="I79" s="6">
        <f t="shared" si="0"/>
        <v>1.4811900087653551</v>
      </c>
      <c r="J79" s="86">
        <f t="shared" si="1"/>
        <v>-7.672024169149414E-5</v>
      </c>
    </row>
    <row r="80" spans="1:10" x14ac:dyDescent="0.3">
      <c r="A80" s="2">
        <v>45918</v>
      </c>
      <c r="B80" s="3">
        <v>-4.6553652135744661E-3</v>
      </c>
      <c r="C80" s="3">
        <v>3.4343836455574553E-2</v>
      </c>
      <c r="D80" s="3">
        <v>-2.1384208901630078E-2</v>
      </c>
      <c r="E80" s="3">
        <v>1.706526055418715E-2</v>
      </c>
      <c r="F80" s="3">
        <v>1.9940237721283931E-2</v>
      </c>
      <c r="G80" s="3">
        <v>4.7777085223636995E-3</v>
      </c>
      <c r="H80" s="3">
        <f>(Sheet1!$Y$19*' Rolling-window portfolio analy'!B80+Sheet1!$Z$19*' Rolling-window portfolio analy'!C80+Sheet1!$AA$19*' Rolling-window portfolio analy'!D80+Sheet1!$AB$19*' Rolling-window portfolio analy'!E80+Sheet1!$AC$19*' Rolling-window portfolio analy'!F80)</f>
        <v>2.2905283737335465E-2</v>
      </c>
      <c r="I80" s="6">
        <f t="shared" si="0"/>
        <v>1.477980046999894</v>
      </c>
      <c r="J80" s="86">
        <f t="shared" si="1"/>
        <v>3.0222429886255344E-4</v>
      </c>
    </row>
    <row r="81" spans="1:10" x14ac:dyDescent="0.3">
      <c r="A81" s="2">
        <v>45917</v>
      </c>
      <c r="B81" s="3">
        <v>3.5209828050978467E-3</v>
      </c>
      <c r="C81" s="3">
        <v>-2.6597158389715183E-2</v>
      </c>
      <c r="D81" s="3">
        <v>1.0006219326091236E-2</v>
      </c>
      <c r="E81" s="3">
        <v>-1.6007171364369913E-2</v>
      </c>
      <c r="F81" s="3">
        <v>9.1968765959688659E-3</v>
      </c>
      <c r="G81" s="3">
        <v>-9.7068934889039981E-4</v>
      </c>
      <c r="H81" s="3">
        <f>(Sheet1!$Y$19*' Rolling-window portfolio analy'!B81+Sheet1!$Z$19*' Rolling-window portfolio analy'!C81+Sheet1!$AA$19*' Rolling-window portfolio analy'!D81+Sheet1!$AB$19*' Rolling-window portfolio analy'!E81+Sheet1!$AC$19*' Rolling-window portfolio analy'!F81)</f>
        <v>-1.8036340985061496E-2</v>
      </c>
      <c r="I81" s="6">
        <f t="shared" si="0"/>
        <v>1.4915547124881714</v>
      </c>
      <c r="J81" s="86">
        <f t="shared" si="1"/>
        <v>2.7068781577280969E-4</v>
      </c>
    </row>
    <row r="82" spans="1:10" x14ac:dyDescent="0.3">
      <c r="A82" s="2">
        <v>45916</v>
      </c>
      <c r="B82" s="3">
        <v>6.1072107269313034E-3</v>
      </c>
      <c r="C82" s="3">
        <v>-1.6278044255121804E-2</v>
      </c>
      <c r="D82" s="3">
        <v>2.7849718516960553E-2</v>
      </c>
      <c r="E82" s="3">
        <v>2.0319381582549815E-2</v>
      </c>
      <c r="F82" s="3">
        <v>-9.2350322093720841E-4</v>
      </c>
      <c r="G82" s="3">
        <v>-1.2887574351968891E-3</v>
      </c>
      <c r="H82" s="3">
        <f>(Sheet1!$Y$19*' Rolling-window portfolio analy'!B82+Sheet1!$Z$19*' Rolling-window portfolio analy'!C82+Sheet1!$AA$19*' Rolling-window portfolio analy'!D82+Sheet1!$AB$19*' Rolling-window portfolio analy'!E82+Sheet1!$AC$19*' Rolling-window portfolio analy'!F82)</f>
        <v>-7.159528682942418E-3</v>
      </c>
      <c r="I82" s="6">
        <f t="shared" si="0"/>
        <v>1.5154455671273674</v>
      </c>
      <c r="J82" s="86">
        <f t="shared" si="1"/>
        <v>3.7570267036931703E-4</v>
      </c>
    </row>
    <row r="83" spans="1:10" x14ac:dyDescent="0.3">
      <c r="A83" s="2">
        <v>45915</v>
      </c>
      <c r="B83" s="3">
        <v>1.1173300598125255E-2</v>
      </c>
      <c r="C83" s="3">
        <v>-3.9373400964260857E-4</v>
      </c>
      <c r="D83" s="3">
        <v>3.4992031291815613E-2</v>
      </c>
      <c r="E83" s="3">
        <v>-4.527333377017554E-3</v>
      </c>
      <c r="F83" s="3">
        <v>9.2350322093719432E-4</v>
      </c>
      <c r="G83" s="3">
        <v>4.6956161361366338E-3</v>
      </c>
      <c r="H83" s="3">
        <f>(Sheet1!$Y$19*' Rolling-window portfolio analy'!B83+Sheet1!$Z$19*' Rolling-window portfolio analy'!C83+Sheet1!$AA$19*' Rolling-window portfolio analy'!D83+Sheet1!$AB$19*' Rolling-window portfolio analy'!E83+Sheet1!$AC$19*' Rolling-window portfolio analy'!F83)</f>
        <v>2.1548470107765889E-3</v>
      </c>
      <c r="I83" s="6">
        <f t="shared" si="0"/>
        <v>1.5091237623509999</v>
      </c>
      <c r="J83" s="86">
        <f t="shared" si="1"/>
        <v>3.0837734152627892E-4</v>
      </c>
    </row>
    <row r="84" spans="1:10" x14ac:dyDescent="0.3">
      <c r="A84" s="2">
        <v>45912</v>
      </c>
      <c r="B84" s="3">
        <v>1.7410480721885509E-2</v>
      </c>
      <c r="C84" s="3">
        <v>3.662079080646989E-3</v>
      </c>
      <c r="D84" s="3">
        <v>7.0981078341088466E-2</v>
      </c>
      <c r="E84" s="3">
        <v>-1.0271864336410289E-2</v>
      </c>
      <c r="F84" s="3">
        <v>-1.1635158815865023E-2</v>
      </c>
      <c r="G84" s="3">
        <v>-4.8285120011051867E-4</v>
      </c>
      <c r="H84" s="3">
        <f>(Sheet1!$Y$19*' Rolling-window portfolio analy'!B84+Sheet1!$Z$19*' Rolling-window portfolio analy'!C84+Sheet1!$AA$19*' Rolling-window portfolio analy'!D84+Sheet1!$AB$19*' Rolling-window portfolio analy'!E84+Sheet1!$AC$19*' Rolling-window portfolio analy'!F84)</f>
        <v>5.8813756569602391E-3</v>
      </c>
      <c r="I84" s="6">
        <f t="shared" si="0"/>
        <v>1.5207462894589363</v>
      </c>
      <c r="J84" s="86">
        <f t="shared" si="1"/>
        <v>2.1198705472700924E-4</v>
      </c>
    </row>
    <row r="85" spans="1:10" x14ac:dyDescent="0.3">
      <c r="A85" s="2">
        <v>45911</v>
      </c>
      <c r="B85" s="3">
        <v>1.4185256029157005E-2</v>
      </c>
      <c r="C85" s="3">
        <v>-9.0267989204194962E-4</v>
      </c>
      <c r="D85" s="3">
        <v>5.8682756931876884E-2</v>
      </c>
      <c r="E85" s="3">
        <v>1.0650762536288778E-3</v>
      </c>
      <c r="F85" s="3">
        <v>2.465456156394058E-2</v>
      </c>
      <c r="G85" s="3">
        <v>8.4500609892315826E-3</v>
      </c>
      <c r="H85" s="3">
        <f>(Sheet1!$Y$19*' Rolling-window portfolio analy'!B85+Sheet1!$Z$19*' Rolling-window portfolio analy'!C85+Sheet1!$AA$19*' Rolling-window portfolio analy'!D85+Sheet1!$AB$19*' Rolling-window portfolio analy'!E85+Sheet1!$AC$19*' Rolling-window portfolio analy'!F85)</f>
        <v>3.144157065563217E-3</v>
      </c>
      <c r="I85" s="6">
        <f t="shared" si="0"/>
        <v>1.5035381130421062</v>
      </c>
      <c r="J85" s="86">
        <f t="shared" si="1"/>
        <v>2.4138075586202924E-4</v>
      </c>
    </row>
    <row r="86" spans="1:10" x14ac:dyDescent="0.3">
      <c r="A86" s="2">
        <v>45910</v>
      </c>
      <c r="B86" s="3">
        <v>-3.2791245197944616E-2</v>
      </c>
      <c r="C86" s="3">
        <v>3.7753341614626582E-2</v>
      </c>
      <c r="D86" s="3">
        <v>2.3605284724501348E-3</v>
      </c>
      <c r="E86" s="3">
        <v>3.183120316178676E-2</v>
      </c>
      <c r="F86" s="3">
        <v>-4.6692691836837229E-3</v>
      </c>
      <c r="G86" s="3">
        <v>2.9790012563325726E-3</v>
      </c>
      <c r="H86" s="3">
        <f>(Sheet1!$Y$19*' Rolling-window portfolio analy'!B86+Sheet1!$Z$19*' Rolling-window portfolio analy'!C86+Sheet1!$AA$19*' Rolling-window portfolio analy'!D86+Sheet1!$AB$19*' Rolling-window portfolio analy'!E86+Sheet1!$AC$19*' Rolling-window portfolio analy'!F86)</f>
        <v>1.9584162980666404E-2</v>
      </c>
      <c r="I86" s="6">
        <f t="shared" si="0"/>
        <v>1.5116812123617984</v>
      </c>
      <c r="J86" s="86">
        <f t="shared" si="1"/>
        <v>3.3314186578480747E-4</v>
      </c>
    </row>
    <row r="87" spans="1:10" x14ac:dyDescent="0.3">
      <c r="A87" s="2">
        <v>45909</v>
      </c>
      <c r="B87" s="3">
        <v>-1.4950620469677826E-2</v>
      </c>
      <c r="C87" s="3">
        <v>1.4451544751686397E-2</v>
      </c>
      <c r="D87" s="3">
        <v>1.6441441896894679E-3</v>
      </c>
      <c r="E87" s="3">
        <v>-4.171704370386946E-3</v>
      </c>
      <c r="F87" s="3">
        <v>-7.1174677688638785E-3</v>
      </c>
      <c r="G87" s="3">
        <v>2.6845529877440578E-3</v>
      </c>
      <c r="H87" s="3">
        <f>(Sheet1!$Y$19*' Rolling-window portfolio analy'!B87+Sheet1!$Z$19*' Rolling-window portfolio analy'!C87+Sheet1!$AA$19*' Rolling-window portfolio analy'!D87+Sheet1!$AB$19*' Rolling-window portfolio analy'!E87+Sheet1!$AC$19*' Rolling-window portfolio analy'!F87)</f>
        <v>5.3498945646630689E-3</v>
      </c>
      <c r="I87" s="6">
        <f t="shared" si="0"/>
        <v>1.5188313590204063</v>
      </c>
      <c r="J87" s="86">
        <f t="shared" si="1"/>
        <v>5.3431638544597609E-4</v>
      </c>
    </row>
    <row r="88" spans="1:10" x14ac:dyDescent="0.3">
      <c r="A88" s="2">
        <v>45908</v>
      </c>
      <c r="B88" s="3">
        <v>-7.5800769165061304E-3</v>
      </c>
      <c r="C88" s="3">
        <v>7.6939514129913816E-3</v>
      </c>
      <c r="D88" s="3">
        <v>-1.2736102394900752E-2</v>
      </c>
      <c r="E88" s="3">
        <v>1.3155011763367269E-3</v>
      </c>
      <c r="F88" s="3">
        <v>-3.0788201660334807E-3</v>
      </c>
      <c r="G88" s="3">
        <v>2.1037794861457856E-3</v>
      </c>
      <c r="H88" s="3">
        <f>(Sheet1!$Y$19*' Rolling-window portfolio analy'!B88+Sheet1!$Z$19*' Rolling-window portfolio analy'!C88+Sheet1!$AA$19*' Rolling-window portfolio analy'!D88+Sheet1!$AB$19*' Rolling-window portfolio analy'!E88+Sheet1!$AC$19*' Rolling-window portfolio analy'!F88)</f>
        <v>3.2534489104794838E-3</v>
      </c>
      <c r="I88" s="6">
        <f t="shared" si="0"/>
        <v>1.5174495026269332</v>
      </c>
      <c r="J88" s="86">
        <f t="shared" si="1"/>
        <v>4.819946124536849E-4</v>
      </c>
    </row>
    <row r="89" spans="1:10" x14ac:dyDescent="0.3">
      <c r="A89" s="2">
        <v>45905</v>
      </c>
      <c r="B89" s="3">
        <v>-3.7541452460853166E-4</v>
      </c>
      <c r="C89" s="3">
        <v>-2.7402210564990471E-2</v>
      </c>
      <c r="D89" s="3">
        <v>3.5717564365462209E-2</v>
      </c>
      <c r="E89" s="3">
        <v>-1.6104809447201624E-2</v>
      </c>
      <c r="F89" s="3">
        <v>-3.9883470570587767E-3</v>
      </c>
      <c r="G89" s="3">
        <v>-3.1701606545509482E-3</v>
      </c>
      <c r="H89" s="3">
        <f>(Sheet1!$Y$19*' Rolling-window portfolio analy'!B89+Sheet1!$Z$19*' Rolling-window portfolio analy'!C89+Sheet1!$AA$19*' Rolling-window portfolio analy'!D89+Sheet1!$AB$19*' Rolling-window portfolio analy'!E89+Sheet1!$AC$19*' Rolling-window portfolio analy'!F89)</f>
        <v>-1.9494959350001211E-2</v>
      </c>
      <c r="I89" s="6">
        <f t="shared" si="0"/>
        <v>1.5719556713142775</v>
      </c>
      <c r="J89" s="86">
        <f t="shared" si="1"/>
        <v>-1.7618988672231514E-4</v>
      </c>
    </row>
    <row r="90" spans="1:10" x14ac:dyDescent="0.3">
      <c r="A90" s="2">
        <v>45904</v>
      </c>
      <c r="B90" s="3">
        <v>5.4783200263767082E-3</v>
      </c>
      <c r="C90" s="3">
        <v>6.0769148095251137E-3</v>
      </c>
      <c r="D90" s="3">
        <v>1.3202296961289547E-2</v>
      </c>
      <c r="E90" s="3">
        <v>2.8911343494420143E-2</v>
      </c>
      <c r="F90" s="3">
        <v>1.1703244140570841E-2</v>
      </c>
      <c r="G90" s="3">
        <v>8.3117987404724356E-3</v>
      </c>
      <c r="H90" s="3">
        <f>(Sheet1!$Y$19*' Rolling-window portfolio analy'!B90+Sheet1!$Z$19*' Rolling-window portfolio analy'!C90+Sheet1!$AA$19*' Rolling-window portfolio analy'!D90+Sheet1!$AB$19*' Rolling-window portfolio analy'!E90+Sheet1!$AC$19*' Rolling-window portfolio analy'!F90)</f>
        <v>8.1070691212484242E-3</v>
      </c>
      <c r="I90" s="6">
        <f t="shared" si="0"/>
        <v>1.5837558399194931</v>
      </c>
      <c r="J90" s="86">
        <f t="shared" si="1"/>
        <v>3.0425526517029351E-5</v>
      </c>
    </row>
    <row r="91" spans="1:10" x14ac:dyDescent="0.3">
      <c r="A91" s="2">
        <v>45903</v>
      </c>
      <c r="B91" s="3">
        <v>3.738234025703522E-2</v>
      </c>
      <c r="C91" s="3">
        <v>-9.3731699891133852E-4</v>
      </c>
      <c r="D91" s="3">
        <v>1.4259040294779576E-2</v>
      </c>
      <c r="E91" s="3">
        <v>-7.9681696491768449E-3</v>
      </c>
      <c r="F91" s="3">
        <v>2.7919980910313547E-3</v>
      </c>
      <c r="G91" s="3">
        <v>5.0871547386880968E-3</v>
      </c>
      <c r="H91" s="3">
        <f>(Sheet1!$Y$19*' Rolling-window portfolio analy'!B91+Sheet1!$Z$19*' Rolling-window portfolio analy'!C91+Sheet1!$AA$19*' Rolling-window portfolio analy'!D91+Sheet1!$AB$19*' Rolling-window portfolio analy'!E91+Sheet1!$AC$19*' Rolling-window portfolio analy'!F91)</f>
        <v>7.9527226142792114E-3</v>
      </c>
      <c r="I91" s="6">
        <f t="shared" si="0"/>
        <v>1.5856367440258277</v>
      </c>
      <c r="J91" s="86">
        <f t="shared" si="1"/>
        <v>4.7933108404210308E-5</v>
      </c>
    </row>
    <row r="92" spans="1:10" x14ac:dyDescent="0.3">
      <c r="A92" s="2">
        <v>45902</v>
      </c>
      <c r="B92" s="3">
        <v>-1.0479461944380755E-2</v>
      </c>
      <c r="C92" s="3">
        <v>-1.9713068785133448E-2</v>
      </c>
      <c r="D92" s="3">
        <v>-1.3600318191794164E-2</v>
      </c>
      <c r="E92" s="3">
        <v>-8.8144562780565416E-4</v>
      </c>
      <c r="F92" s="3">
        <v>-9.8918890050971424E-3</v>
      </c>
      <c r="G92" s="3">
        <v>-6.9463924292620972E-3</v>
      </c>
      <c r="H92" s="3">
        <f>(Sheet1!$Y$19*' Rolling-window portfolio analy'!B92+Sheet1!$Z$19*' Rolling-window portfolio analy'!C92+Sheet1!$AA$19*' Rolling-window portfolio analy'!D92+Sheet1!$AB$19*' Rolling-window portfolio analy'!E92+Sheet1!$AC$19*' Rolling-window portfolio analy'!F92)</f>
        <v>-1.5619362648385574E-2</v>
      </c>
      <c r="I92" s="6">
        <f t="shared" si="0"/>
        <v>1.6651709749578709</v>
      </c>
      <c r="J92" s="86">
        <f t="shared" si="1"/>
        <v>4.4135148564154779E-4</v>
      </c>
    </row>
    <row r="93" spans="1:10" x14ac:dyDescent="0.3">
      <c r="A93" s="2">
        <v>45898</v>
      </c>
      <c r="B93" s="3">
        <v>-1.8076183101439452E-3</v>
      </c>
      <c r="C93" s="3">
        <v>-3.3811602363015204E-2</v>
      </c>
      <c r="D93" s="3">
        <v>-3.5629274265387964E-2</v>
      </c>
      <c r="E93" s="3">
        <v>-3.5180335316791727E-3</v>
      </c>
      <c r="F93" s="3">
        <v>-4.6033532265050163E-3</v>
      </c>
      <c r="G93" s="3">
        <v>-6.4187251509291582E-3</v>
      </c>
      <c r="H93" s="3">
        <f>(Sheet1!$Y$19*' Rolling-window portfolio analy'!B93+Sheet1!$Z$19*' Rolling-window portfolio analy'!C93+Sheet1!$AA$19*' Rolling-window portfolio analy'!D93+Sheet1!$AB$19*' Rolling-window portfolio analy'!E93+Sheet1!$AC$19*' Rolling-window portfolio analy'!F93)</f>
        <v>-2.2982394144147184E-2</v>
      </c>
      <c r="I93" s="6">
        <f t="shared" si="0"/>
        <v>1.7222828720158889</v>
      </c>
      <c r="J93" s="86">
        <f t="shared" si="1"/>
        <v>3.5077311883989363E-4</v>
      </c>
    </row>
    <row r="94" spans="1:10" x14ac:dyDescent="0.3">
      <c r="A94" s="2">
        <v>45897</v>
      </c>
      <c r="B94" s="3">
        <v>8.9407787029671757E-3</v>
      </c>
      <c r="C94" s="3">
        <v>-7.9056165395841975E-3</v>
      </c>
      <c r="D94" s="3">
        <v>-1.0408673862549105E-2</v>
      </c>
      <c r="E94" s="3">
        <v>1.7268527408372723E-2</v>
      </c>
      <c r="F94" s="3">
        <v>3.6809857514272931E-3</v>
      </c>
      <c r="G94" s="3">
        <v>3.1517534019497762E-3</v>
      </c>
      <c r="H94" s="3">
        <f>(Sheet1!$Y$19*' Rolling-window portfolio analy'!B94+Sheet1!$Z$19*' Rolling-window portfolio analy'!C94+Sheet1!$AA$19*' Rolling-window portfolio analy'!D94+Sheet1!$AB$19*' Rolling-window portfolio analy'!E94+Sheet1!$AC$19*' Rolling-window portfolio analy'!F94)</f>
        <v>-1.3327125387139712E-3</v>
      </c>
      <c r="I94" s="6">
        <f t="shared" si="0"/>
        <v>1.7646545723453806</v>
      </c>
      <c r="J94" s="86">
        <f t="shared" si="1"/>
        <v>5.1919787625628747E-4</v>
      </c>
    </row>
    <row r="95" spans="1:10" x14ac:dyDescent="0.3">
      <c r="A95" s="2">
        <v>45896</v>
      </c>
      <c r="B95" s="3">
        <v>5.1326776447566114E-3</v>
      </c>
      <c r="C95" s="3">
        <v>-9.3568545781456578E-4</v>
      </c>
      <c r="D95" s="3">
        <v>-5.9035920887402123E-3</v>
      </c>
      <c r="E95" s="3">
        <v>7.396649210695095E-3</v>
      </c>
      <c r="F95" s="3">
        <v>4.0030846374357679E-3</v>
      </c>
      <c r="G95" s="3">
        <v>2.3881364585491512E-3</v>
      </c>
      <c r="H95" s="3">
        <f>(Sheet1!$Y$19*' Rolling-window portfolio analy'!B95+Sheet1!$Z$19*' Rolling-window portfolio analy'!C95+Sheet1!$AA$19*' Rolling-window portfolio analy'!D95+Sheet1!$AB$19*' Rolling-window portfolio analy'!E95+Sheet1!$AC$19*' Rolling-window portfolio analy'!F95)</f>
        <v>1.3548123024169673E-3</v>
      </c>
      <c r="I95" s="6">
        <f t="shared" si="0"/>
        <v>1.779784726045194</v>
      </c>
      <c r="J95" s="86">
        <f t="shared" si="1"/>
        <v>4.0512959531347598E-4</v>
      </c>
    </row>
    <row r="96" spans="1:10" x14ac:dyDescent="0.3">
      <c r="A96" s="2">
        <v>45895</v>
      </c>
      <c r="B96" s="3">
        <v>9.4201848936647913E-3</v>
      </c>
      <c r="C96" s="3">
        <v>1.0841413781461152E-2</v>
      </c>
      <c r="D96" s="3">
        <v>1.4521858588614886E-2</v>
      </c>
      <c r="E96" s="3">
        <v>4.5004501209658127E-4</v>
      </c>
      <c r="F96" s="3">
        <v>-1.2266329819554436E-2</v>
      </c>
      <c r="G96" s="3">
        <v>4.1254554739158684E-3</v>
      </c>
      <c r="H96" s="3">
        <f>(Sheet1!$Y$19*' Rolling-window portfolio analy'!B96+Sheet1!$Z$19*' Rolling-window portfolio analy'!C96+Sheet1!$AA$19*' Rolling-window portfolio analy'!D96+Sheet1!$AB$19*' Rolling-window portfolio analy'!E96+Sheet1!$AC$19*' Rolling-window portfolio analy'!F96)</f>
        <v>9.5089205350751601E-3</v>
      </c>
      <c r="I96" s="6">
        <f t="shared" si="0"/>
        <v>1.7680267602227151</v>
      </c>
      <c r="J96" s="86">
        <f t="shared" si="1"/>
        <v>2.184589593547966E-4</v>
      </c>
    </row>
    <row r="97" spans="1:10" x14ac:dyDescent="0.3">
      <c r="A97" s="2">
        <v>45894</v>
      </c>
      <c r="B97" s="3">
        <v>-2.6378279605502935E-3</v>
      </c>
      <c r="C97" s="3">
        <v>1.0173368904884798E-2</v>
      </c>
      <c r="D97" s="3">
        <v>1.9196348339110249E-2</v>
      </c>
      <c r="E97" s="3">
        <v>-7.3999664959073265E-3</v>
      </c>
      <c r="F97" s="3">
        <v>-5.2542133282134064E-2</v>
      </c>
      <c r="G97" s="3">
        <v>-4.2754610800767165E-3</v>
      </c>
      <c r="H97" s="3">
        <f>(Sheet1!$Y$19*' Rolling-window portfolio analy'!B97+Sheet1!$Z$19*' Rolling-window portfolio analy'!C97+Sheet1!$AA$19*' Rolling-window portfolio analy'!D97+Sheet1!$AB$19*' Rolling-window portfolio analy'!E97+Sheet1!$AC$19*' Rolling-window portfolio analy'!F97)</f>
        <v>5.3367918092219399E-3</v>
      </c>
      <c r="I97" s="6">
        <f t="shared" si="0"/>
        <v>1.7372655343405095</v>
      </c>
      <c r="J97" s="86">
        <f t="shared" si="1"/>
        <v>5.0591865508371617E-4</v>
      </c>
    </row>
    <row r="98" spans="1:10" x14ac:dyDescent="0.3">
      <c r="A98" s="2">
        <v>45891</v>
      </c>
      <c r="B98" s="3">
        <v>1.2636584004512057E-2</v>
      </c>
      <c r="C98" s="3">
        <v>1.7055687260543243E-2</v>
      </c>
      <c r="D98" s="3">
        <v>6.0310342217118333E-2</v>
      </c>
      <c r="E98" s="3">
        <v>2.9473908615440733E-2</v>
      </c>
      <c r="F98" s="3">
        <v>-3.6625811289046732E-2</v>
      </c>
      <c r="G98" s="3">
        <v>1.5072248733123567E-2</v>
      </c>
      <c r="H98" s="3">
        <f>(Sheet1!$Y$19*' Rolling-window portfolio analy'!B98+Sheet1!$Z$19*' Rolling-window portfolio analy'!C98+Sheet1!$AA$19*' Rolling-window portfolio analy'!D98+Sheet1!$AB$19*' Rolling-window portfolio analy'!E98+Sheet1!$AC$19*' Rolling-window portfolio analy'!F98)</f>
        <v>1.7213184093580778E-2</v>
      </c>
      <c r="I98" s="6">
        <f t="shared" si="0"/>
        <v>1.6861380628182638</v>
      </c>
      <c r="J98" s="86">
        <f t="shared" si="1"/>
        <v>4.3928991987674513E-4</v>
      </c>
    </row>
    <row r="99" spans="1:10" x14ac:dyDescent="0.3">
      <c r="A99" s="2">
        <v>45890</v>
      </c>
      <c r="B99" s="3">
        <v>-4.9233871157219602E-3</v>
      </c>
      <c r="C99" s="3">
        <v>-2.3973982599642223E-3</v>
      </c>
      <c r="D99" s="3">
        <v>-1.1770139452006403E-2</v>
      </c>
      <c r="E99" s="3">
        <v>1.4135329784494834E-2</v>
      </c>
      <c r="F99" s="3">
        <v>-3.3398305467482988E-3</v>
      </c>
      <c r="G99" s="3">
        <v>-4.0122410562429415E-3</v>
      </c>
      <c r="H99" s="3">
        <f>(Sheet1!$Y$19*' Rolling-window portfolio analy'!B99+Sheet1!$Z$19*' Rolling-window portfolio analy'!C99+Sheet1!$AA$19*' Rolling-window portfolio analy'!D99+Sheet1!$AB$19*' Rolling-window portfolio analy'!E99+Sheet1!$AC$19*' Rolling-window portfolio analy'!F99)</f>
        <v>-1.4742591922580171E-3</v>
      </c>
      <c r="I99" s="6">
        <f t="shared" si="0"/>
        <v>1.6845389690863284</v>
      </c>
      <c r="J99" s="86">
        <f t="shared" si="1"/>
        <v>2.9086794138428063E-4</v>
      </c>
    </row>
    <row r="100" spans="1:10" x14ac:dyDescent="0.3">
      <c r="A100" s="2">
        <v>45889</v>
      </c>
      <c r="B100" s="3">
        <v>-1.9931886170219938E-2</v>
      </c>
      <c r="C100" s="3">
        <v>-1.3673657554339415E-3</v>
      </c>
      <c r="D100" s="3">
        <v>-1.6564730190051315E-2</v>
      </c>
      <c r="E100" s="3">
        <v>-2.3310033864755897E-3</v>
      </c>
      <c r="F100" s="3">
        <v>-1.4618933635828448E-2</v>
      </c>
      <c r="G100" s="3">
        <v>-2.4345787627045859E-3</v>
      </c>
      <c r="H100" s="3">
        <f>(Sheet1!$Y$19*' Rolling-window portfolio analy'!B100+Sheet1!$Z$19*' Rolling-window portfolio analy'!C100+Sheet1!$AA$19*' Rolling-window portfolio analy'!D100+Sheet1!$AB$19*' Rolling-window portfolio analy'!E100+Sheet1!$AC$19*' Rolling-window portfolio analy'!F100)</f>
        <v>-6.1030125188330656E-3</v>
      </c>
      <c r="I100" s="6">
        <f t="shared" si="0"/>
        <v>1.7082092241698996</v>
      </c>
      <c r="J100" s="86">
        <f t="shared" si="1"/>
        <v>1.7491531856165784E-4</v>
      </c>
    </row>
    <row r="101" spans="1:10" x14ac:dyDescent="0.3">
      <c r="A101" s="2">
        <v>45888</v>
      </c>
      <c r="B101" s="3">
        <v>-1.430274379700124E-3</v>
      </c>
      <c r="C101" s="3">
        <v>-3.5625184928799479E-2</v>
      </c>
      <c r="D101" s="3">
        <v>-1.7608473377750986E-2</v>
      </c>
      <c r="E101" s="3">
        <v>1.864367820378776E-3</v>
      </c>
      <c r="F101" s="3">
        <v>1.4618933635828373E-2</v>
      </c>
      <c r="G101" s="3">
        <v>-5.8753625327812135E-3</v>
      </c>
      <c r="H101" s="3">
        <f>(Sheet1!$Y$19*' Rolling-window portfolio analy'!B101+Sheet1!$Z$19*' Rolling-window portfolio analy'!C101+Sheet1!$AA$19*' Rolling-window portfolio analy'!D101+Sheet1!$AB$19*' Rolling-window portfolio analy'!E101+Sheet1!$AC$19*' Rolling-window portfolio analy'!F101)</f>
        <v>-2.3532542133365864E-2</v>
      </c>
      <c r="I101" s="6">
        <f t="shared" si="0"/>
        <v>1.7393096562672856</v>
      </c>
      <c r="J101" s="86">
        <f t="shared" si="1"/>
        <v>-2.0149932717031553E-5</v>
      </c>
    </row>
    <row r="102" spans="1:10" x14ac:dyDescent="0.3">
      <c r="A102" s="2">
        <v>45887</v>
      </c>
      <c r="B102" s="3">
        <v>-3.0271602428172274E-3</v>
      </c>
      <c r="C102" s="3">
        <v>8.6078995335185544E-3</v>
      </c>
      <c r="D102" s="3">
        <v>1.3819843813812054E-2</v>
      </c>
      <c r="E102" s="3">
        <v>1.6341780221346967E-3</v>
      </c>
      <c r="F102" s="3">
        <v>-9.1274316421531589E-3</v>
      </c>
      <c r="G102" s="3">
        <v>-1.0078339718365875E-4</v>
      </c>
      <c r="H102" s="3">
        <f>(Sheet1!$Y$19*' Rolling-window portfolio analy'!B102+Sheet1!$Z$19*' Rolling-window portfolio analy'!C102+Sheet1!$AA$19*' Rolling-window portfolio analy'!D102+Sheet1!$AB$19*' Rolling-window portfolio analy'!E102+Sheet1!$AC$19*' Rolling-window portfolio analy'!F102)</f>
        <v>5.062382905729558E-3</v>
      </c>
      <c r="I102" s="6">
        <f t="shared" si="0"/>
        <v>1.7439860017507138</v>
      </c>
      <c r="J102" s="86">
        <f t="shared" si="1"/>
        <v>3.5818399291261951E-4</v>
      </c>
    </row>
    <row r="103" spans="1:10" x14ac:dyDescent="0.3">
      <c r="A103" s="2">
        <v>45884</v>
      </c>
      <c r="B103" s="3">
        <v>-5.1252346401009499E-3</v>
      </c>
      <c r="C103" s="3">
        <v>-8.6628400604121924E-3</v>
      </c>
      <c r="D103" s="3">
        <v>-1.5072192130277872E-2</v>
      </c>
      <c r="E103" s="3">
        <v>-1.045913079013727E-2</v>
      </c>
      <c r="F103" s="3">
        <v>-8.2565024643587034E-4</v>
      </c>
      <c r="G103" s="3">
        <v>-2.9013035955741404E-3</v>
      </c>
      <c r="H103" s="3">
        <f>(Sheet1!$Y$19*' Rolling-window portfolio analy'!B103+Sheet1!$Z$19*' Rolling-window portfolio analy'!C103+Sheet1!$AA$19*' Rolling-window portfolio analy'!D103+Sheet1!$AB$19*' Rolling-window portfolio analy'!E103+Sheet1!$AC$19*' Rolling-window portfolio analy'!F103)</f>
        <v>-7.9651209837849814E-3</v>
      </c>
      <c r="I103" s="6">
        <f t="shared" si="0"/>
        <v>1.6804545077756776</v>
      </c>
      <c r="J103" s="86">
        <f t="shared" si="1"/>
        <v>1.2482975758898733E-4</v>
      </c>
    </row>
    <row r="104" spans="1:10" x14ac:dyDescent="0.3">
      <c r="A104" s="2">
        <v>45883</v>
      </c>
      <c r="B104" s="3">
        <v>-2.3599590451372499E-3</v>
      </c>
      <c r="C104" s="3">
        <v>2.3651725775040732E-3</v>
      </c>
      <c r="D104" s="3">
        <v>-1.1260045483128454E-2</v>
      </c>
      <c r="E104" s="3">
        <v>9.2915883340994182E-3</v>
      </c>
      <c r="F104" s="3">
        <v>7.4555087851055409E-3</v>
      </c>
      <c r="G104" s="3">
        <v>3.0305092105848265E-4</v>
      </c>
      <c r="H104" s="3">
        <f>(Sheet1!$Y$19*' Rolling-window portfolio analy'!B104+Sheet1!$Z$19*' Rolling-window portfolio analy'!C104+Sheet1!$AA$19*' Rolling-window portfolio analy'!D104+Sheet1!$AB$19*' Rolling-window portfolio analy'!E104+Sheet1!$AC$19*' Rolling-window portfolio analy'!F104)</f>
        <v>1.8224483675939828E-3</v>
      </c>
      <c r="I104" s="6">
        <f t="shared" si="0"/>
        <v>1.6807453748570145</v>
      </c>
      <c r="J104" s="86">
        <f t="shared" si="1"/>
        <v>1.7971564747900118E-4</v>
      </c>
    </row>
    <row r="105" spans="1:10" x14ac:dyDescent="0.3">
      <c r="A105" s="2">
        <v>45882</v>
      </c>
      <c r="B105" s="3">
        <v>1.5897349787165019E-2</v>
      </c>
      <c r="C105" s="3">
        <v>-8.6086892171890975E-3</v>
      </c>
      <c r="D105" s="3">
        <v>-4.2927354150751095E-3</v>
      </c>
      <c r="E105" s="3">
        <v>7.9663026730902205E-3</v>
      </c>
      <c r="F105" s="3">
        <v>7.2322985618571587E-3</v>
      </c>
      <c r="G105" s="3">
        <v>3.2248249415864237E-3</v>
      </c>
      <c r="H105" s="3">
        <f>(Sheet1!$Y$19*' Rolling-window portfolio analy'!B105+Sheet1!$Z$19*' Rolling-window portfolio analy'!C105+Sheet1!$AA$19*' Rolling-window portfolio analy'!D105+Sheet1!$AB$19*' Rolling-window portfolio analy'!E105+Sheet1!$AC$19*' Rolling-window portfolio analy'!F105)</f>
        <v>-9.3432019141645483E-4</v>
      </c>
      <c r="I105" s="6">
        <f t="shared" si="0"/>
        <v>1.6498539245584098</v>
      </c>
      <c r="J105" s="86">
        <f t="shared" si="1"/>
        <v>1.8557739928547505E-4</v>
      </c>
    </row>
    <row r="106" spans="1:10" x14ac:dyDescent="0.3">
      <c r="A106" s="2">
        <v>45881</v>
      </c>
      <c r="B106" s="3">
        <v>1.0813755968526953E-2</v>
      </c>
      <c r="C106" s="3">
        <v>6.0237847117518917E-3</v>
      </c>
      <c r="D106" s="3">
        <v>5.324559919586188E-3</v>
      </c>
      <c r="E106" s="3">
        <v>-4.459577863880182E-3</v>
      </c>
      <c r="F106" s="3">
        <v>1.6608404279419529E-2</v>
      </c>
      <c r="G106" s="3">
        <v>1.1281626080988628E-2</v>
      </c>
      <c r="H106" s="3">
        <f>(Sheet1!$Y$19*' Rolling-window portfolio analy'!B106+Sheet1!$Z$19*' Rolling-window portfolio analy'!C106+Sheet1!$AA$19*' Rolling-window portfolio analy'!D106+Sheet1!$AB$19*' Rolling-window portfolio analy'!E106+Sheet1!$AC$19*' Rolling-window portfolio analy'!F106)</f>
        <v>6.2192389381213438E-3</v>
      </c>
      <c r="I106" s="6">
        <f t="shared" si="0"/>
        <v>1.6176056414066053</v>
      </c>
      <c r="J106" s="86">
        <f t="shared" si="1"/>
        <v>2.6037970732423633E-4</v>
      </c>
    </row>
    <row r="107" spans="1:10" x14ac:dyDescent="0.3">
      <c r="A107" s="2">
        <v>45880</v>
      </c>
      <c r="B107" s="3">
        <v>-9.506566239905357E-3</v>
      </c>
      <c r="C107" s="3">
        <v>-3.5091603068182001E-3</v>
      </c>
      <c r="D107" s="3">
        <v>2.8057113480860443E-2</v>
      </c>
      <c r="E107" s="3">
        <v>-1.3722741219310282E-2</v>
      </c>
      <c r="F107" s="3">
        <v>-5.6609265242344581E-3</v>
      </c>
      <c r="G107" s="3">
        <v>-2.5072684706233723E-3</v>
      </c>
      <c r="H107" s="3">
        <f>(Sheet1!$Y$19*' Rolling-window portfolio analy'!B107+Sheet1!$Z$19*' Rolling-window portfolio analy'!C107+Sheet1!$AA$19*' Rolling-window portfolio analy'!D107+Sheet1!$AB$19*' Rolling-window portfolio analy'!E107+Sheet1!$AC$19*' Rolling-window portfolio analy'!F107)</f>
        <v>-5.9122283814224633E-3</v>
      </c>
      <c r="I107" s="6">
        <f t="shared" si="0"/>
        <v>1.559643435092753</v>
      </c>
      <c r="J107" s="86">
        <f t="shared" si="1"/>
        <v>4.8571654150047442E-4</v>
      </c>
    </row>
    <row r="108" spans="1:10" x14ac:dyDescent="0.3">
      <c r="A108" s="2">
        <v>45877</v>
      </c>
      <c r="B108" s="3">
        <v>4.1485320351131408E-2</v>
      </c>
      <c r="C108" s="3">
        <v>1.0619958397197829E-2</v>
      </c>
      <c r="D108" s="3">
        <v>2.264178205067275E-2</v>
      </c>
      <c r="E108" s="3">
        <v>8.1178690032543601E-3</v>
      </c>
      <c r="F108" s="3">
        <v>5.0933896191030208E-3</v>
      </c>
      <c r="G108" s="3">
        <v>7.7694242484223387E-3</v>
      </c>
      <c r="H108" s="3">
        <f>(Sheet1!$Y$19*' Rolling-window portfolio analy'!B108+Sheet1!$Z$19*' Rolling-window portfolio analy'!C108+Sheet1!$AA$19*' Rolling-window portfolio analy'!D108+Sheet1!$AB$19*' Rolling-window portfolio analy'!E108+Sheet1!$AC$19*' Rolling-window portfolio analy'!F108)</f>
        <v>1.8080088974440797E-2</v>
      </c>
      <c r="I108" s="6">
        <f t="shared" si="0"/>
        <v>1.5717332540194198</v>
      </c>
      <c r="J108" s="86">
        <f t="shared" si="1"/>
        <v>3.9442078518861631E-4</v>
      </c>
    </row>
    <row r="109" spans="1:10" x14ac:dyDescent="0.3">
      <c r="A109" s="2">
        <v>45876</v>
      </c>
      <c r="B109" s="3">
        <v>3.1298714320261108E-2</v>
      </c>
      <c r="C109" s="3">
        <v>7.4960788556257376E-3</v>
      </c>
      <c r="D109" s="3">
        <v>7.3499972730621923E-3</v>
      </c>
      <c r="E109" s="3">
        <v>-1.1346654096095622E-2</v>
      </c>
      <c r="F109" s="3">
        <v>-2.1331148402506193E-2</v>
      </c>
      <c r="G109" s="3">
        <v>-7.9778893728174702E-4</v>
      </c>
      <c r="H109" s="3">
        <f>(Sheet1!$Y$19*' Rolling-window portfolio analy'!B109+Sheet1!$Z$19*' Rolling-window portfolio analy'!C109+Sheet1!$AA$19*' Rolling-window portfolio analy'!D109+Sheet1!$AB$19*' Rolling-window portfolio analy'!E109+Sheet1!$AC$19*' Rolling-window portfolio analy'!F109)</f>
        <v>1.1627678093060629E-2</v>
      </c>
      <c r="I109" s="6">
        <f t="shared" si="0"/>
        <v>1.5657929284764045</v>
      </c>
      <c r="J109" s="86">
        <f t="shared" si="1"/>
        <v>7.2555289091131561E-4</v>
      </c>
    </row>
    <row r="110" spans="1:10" x14ac:dyDescent="0.3">
      <c r="A110" s="2">
        <v>45875</v>
      </c>
      <c r="B110" s="3">
        <v>4.9653373673299327E-2</v>
      </c>
      <c r="C110" s="3">
        <v>6.4862674285661491E-3</v>
      </c>
      <c r="D110" s="3">
        <v>3.5604989006210411E-2</v>
      </c>
      <c r="E110" s="3">
        <v>-8.9398876205899376E-3</v>
      </c>
      <c r="F110" s="3">
        <v>1.0047530800478903E-2</v>
      </c>
      <c r="G110" s="3">
        <v>7.255503683515384E-3</v>
      </c>
      <c r="H110" s="3">
        <f>(Sheet1!$Y$19*' Rolling-window portfolio analy'!B110+Sheet1!$Z$19*' Rolling-window portfolio analy'!C110+Sheet1!$AA$19*' Rolling-window portfolio analy'!D110+Sheet1!$AB$19*' Rolling-window portfolio analy'!E110+Sheet1!$AC$19*' Rolling-window portfolio analy'!F110)</f>
        <v>1.5810648471940466E-2</v>
      </c>
      <c r="I110" s="6">
        <f t="shared" si="0"/>
        <v>1.5912455668209293</v>
      </c>
      <c r="J110" s="86">
        <f t="shared" si="1"/>
        <v>6.9379269127365934E-4</v>
      </c>
    </row>
    <row r="111" spans="1:10" x14ac:dyDescent="0.3">
      <c r="A111" s="2">
        <v>45874</v>
      </c>
      <c r="B111" s="3">
        <v>-2.1168196547443788E-3</v>
      </c>
      <c r="C111" s="3">
        <v>-9.7136921876391485E-3</v>
      </c>
      <c r="D111" s="3">
        <v>-1.7476298179210416E-3</v>
      </c>
      <c r="E111" s="3">
        <v>1.5987213636970735E-3</v>
      </c>
      <c r="F111" s="3">
        <v>5.3438462142430488E-3</v>
      </c>
      <c r="G111" s="3">
        <v>-4.8697037352752534E-3</v>
      </c>
      <c r="H111" s="3">
        <f>(Sheet1!$Y$19*' Rolling-window portfolio analy'!B111+Sheet1!$Z$19*' Rolling-window portfolio analy'!C111+Sheet1!$AA$19*' Rolling-window portfolio analy'!D111+Sheet1!$AB$19*' Rolling-window portfolio analy'!E111+Sheet1!$AC$19*' Rolling-window portfolio analy'!F111)</f>
        <v>-6.7369302780745941E-3</v>
      </c>
      <c r="I111" s="6">
        <f t="shared" si="0"/>
        <v>1.6018167987558802</v>
      </c>
      <c r="J111" s="86">
        <f t="shared" si="1"/>
        <v>3.4887500147752709E-4</v>
      </c>
    </row>
    <row r="112" spans="1:10" x14ac:dyDescent="0.3">
      <c r="A112" s="2">
        <v>45873</v>
      </c>
      <c r="B112" s="3">
        <v>4.7815140516196241E-3</v>
      </c>
      <c r="C112" s="3">
        <v>3.5512043223589265E-2</v>
      </c>
      <c r="D112" s="3">
        <v>2.1671409827243679E-2</v>
      </c>
      <c r="E112" s="3">
        <v>5.5008160710348008E-3</v>
      </c>
      <c r="F112" s="3">
        <v>1.2771565679487539E-2</v>
      </c>
      <c r="G112" s="3">
        <v>1.4629536175939909E-2</v>
      </c>
      <c r="H112" s="3">
        <f>(Sheet1!$Y$19*' Rolling-window portfolio analy'!B112+Sheet1!$Z$19*' Rolling-window portfolio analy'!C112+Sheet1!$AA$19*' Rolling-window portfolio analy'!D112+Sheet1!$AB$19*' Rolling-window portfolio analy'!E112+Sheet1!$AC$19*' Rolling-window portfolio analy'!F112)</f>
        <v>2.4997905387507513E-2</v>
      </c>
      <c r="I112" s="6">
        <f t="shared" si="0"/>
        <v>1.6006058192333552</v>
      </c>
      <c r="J112" s="86">
        <f t="shared" si="1"/>
        <v>-1.383879784291873E-4</v>
      </c>
    </row>
    <row r="113" spans="1:10" x14ac:dyDescent="0.3">
      <c r="A113" s="2">
        <v>45870</v>
      </c>
      <c r="B113" s="3">
        <v>-2.5321513877215478E-2</v>
      </c>
      <c r="C113" s="3">
        <v>-2.3608138720764962E-2</v>
      </c>
      <c r="D113" s="3">
        <v>-1.8465085120289874E-2</v>
      </c>
      <c r="E113" s="3">
        <v>-3.4782187321758154E-2</v>
      </c>
      <c r="F113" s="3">
        <v>-1.5025087759931003E-2</v>
      </c>
      <c r="G113" s="3">
        <v>-1.6121328046944453E-2</v>
      </c>
      <c r="H113" s="3">
        <f>(Sheet1!$Y$19*' Rolling-window portfolio analy'!B113+Sheet1!$Z$19*' Rolling-window portfolio analy'!C113+Sheet1!$AA$19*' Rolling-window portfolio analy'!D113+Sheet1!$AB$19*' Rolling-window portfolio analy'!E113+Sheet1!$AC$19*' Rolling-window portfolio analy'!F113)</f>
        <v>-2.5084875973510404E-2</v>
      </c>
      <c r="I113" s="6">
        <f t="shared" si="0"/>
        <v>1.5832873995691117</v>
      </c>
      <c r="J113" s="86">
        <f t="shared" si="1"/>
        <v>-1.5667516455521949E-4</v>
      </c>
    </row>
    <row r="114" spans="1:10" x14ac:dyDescent="0.3">
      <c r="A114" s="2">
        <v>45869</v>
      </c>
      <c r="B114" s="3">
        <v>-7.104825623744683E-3</v>
      </c>
      <c r="C114" s="3">
        <v>-7.8401028793611393E-3</v>
      </c>
      <c r="D114" s="3">
        <v>-3.4340464433143078E-2</v>
      </c>
      <c r="E114" s="3">
        <v>-1.0598465292343878E-2</v>
      </c>
      <c r="F114" s="3">
        <v>7.0591850393265862E-3</v>
      </c>
      <c r="G114" s="3">
        <v>-3.701698960678981E-3</v>
      </c>
      <c r="H114" s="3">
        <f>(Sheet1!$Y$19*' Rolling-window portfolio analy'!B114+Sheet1!$Z$19*' Rolling-window portfolio analy'!C114+Sheet1!$AA$19*' Rolling-window portfolio analy'!D114+Sheet1!$AB$19*' Rolling-window portfolio analy'!E114+Sheet1!$AC$19*' Rolling-window portfolio analy'!F114)</f>
        <v>-7.9669750047250288E-3</v>
      </c>
      <c r="I114" s="6">
        <f t="shared" si="0"/>
        <v>1.5809108331410331</v>
      </c>
      <c r="J114" s="86">
        <f t="shared" si="1"/>
        <v>-2.2312366967239781E-4</v>
      </c>
    </row>
    <row r="115" spans="1:10" x14ac:dyDescent="0.3">
      <c r="A115" s="2">
        <v>45868</v>
      </c>
      <c r="B115" s="3">
        <v>-1.0563478509569259E-2</v>
      </c>
      <c r="C115" s="3">
        <v>2.119702792714857E-2</v>
      </c>
      <c r="D115" s="3">
        <v>-6.7474952991329693E-3</v>
      </c>
      <c r="E115" s="3">
        <v>-4.8203423748395301E-3</v>
      </c>
      <c r="F115" s="3">
        <v>-3.6769946675088245E-3</v>
      </c>
      <c r="G115" s="3">
        <v>-1.2502200507663753E-3</v>
      </c>
      <c r="H115" s="3">
        <f>(Sheet1!$Y$19*' Rolling-window portfolio analy'!B115+Sheet1!$Z$19*' Rolling-window portfolio analy'!C115+Sheet1!$AA$19*' Rolling-window portfolio analy'!D115+Sheet1!$AB$19*' Rolling-window portfolio analy'!E115+Sheet1!$AC$19*' Rolling-window portfolio analy'!F115)</f>
        <v>1.0780033709691116E-2</v>
      </c>
      <c r="I115" s="6">
        <f t="shared" si="0"/>
        <v>1.5676350476066367</v>
      </c>
      <c r="J115" s="86">
        <f t="shared" si="1"/>
        <v>-3.2646311584971039E-5</v>
      </c>
    </row>
    <row r="116" spans="1:10" x14ac:dyDescent="0.3">
      <c r="A116" s="2">
        <v>45867</v>
      </c>
      <c r="B116" s="3">
        <v>-1.3072696278811793E-2</v>
      </c>
      <c r="C116" s="3">
        <v>-7.0402834370834003E-3</v>
      </c>
      <c r="D116" s="3">
        <v>-1.3574939053426568E-2</v>
      </c>
      <c r="E116" s="3">
        <v>-1.7335212001545672E-2</v>
      </c>
      <c r="F116" s="3">
        <v>-8.15412925166961E-3</v>
      </c>
      <c r="G116" s="3">
        <v>-2.9638056808081927E-3</v>
      </c>
      <c r="H116" s="3">
        <f>(Sheet1!$Y$19*' Rolling-window portfolio analy'!B116+Sheet1!$Z$19*' Rolling-window portfolio analy'!C116+Sheet1!$AA$19*' Rolling-window portfolio analy'!D116+Sheet1!$AB$19*' Rolling-window portfolio analy'!E116+Sheet1!$AC$19*' Rolling-window portfolio analy'!F116)</f>
        <v>-9.5288757019963127E-3</v>
      </c>
      <c r="I116" s="6">
        <f t="shared" si="0"/>
        <v>1.5790710289324617</v>
      </c>
      <c r="J116" s="86">
        <f t="shared" si="1"/>
        <v>-1.5846602721780799E-4</v>
      </c>
    </row>
    <row r="117" spans="1:10" x14ac:dyDescent="0.3">
      <c r="A117" s="2">
        <v>45866</v>
      </c>
      <c r="B117" s="3">
        <v>7.9452251042439034E-4</v>
      </c>
      <c r="C117" s="3">
        <v>1.8558705389768251E-2</v>
      </c>
      <c r="D117" s="3">
        <v>2.9706852145075558E-2</v>
      </c>
      <c r="E117" s="3">
        <v>1.079924102176023E-2</v>
      </c>
      <c r="F117" s="3">
        <v>-1.3991886989562262E-3</v>
      </c>
      <c r="G117" s="3">
        <v>1.7686081491285848E-4</v>
      </c>
      <c r="H117" s="3">
        <f>(Sheet1!$Y$19*' Rolling-window portfolio analy'!B117+Sheet1!$Z$19*' Rolling-window portfolio analy'!C117+Sheet1!$AA$19*' Rolling-window portfolio analy'!D117+Sheet1!$AB$19*' Rolling-window portfolio analy'!E117+Sheet1!$AC$19*' Rolling-window portfolio analy'!F117)</f>
        <v>1.3425212562599374E-2</v>
      </c>
      <c r="I117" s="6">
        <f t="shared" si="0"/>
        <v>1.5746685959843261</v>
      </c>
      <c r="J117" s="86">
        <f t="shared" si="1"/>
        <v>1.294206039513684E-4</v>
      </c>
    </row>
    <row r="118" spans="1:10" x14ac:dyDescent="0.3">
      <c r="A118" s="2">
        <v>45863</v>
      </c>
      <c r="B118" s="3">
        <v>5.6121973225001546E-4</v>
      </c>
      <c r="C118" s="3">
        <v>-1.3823294448606579E-3</v>
      </c>
      <c r="D118" s="3">
        <v>3.4637169240125415E-2</v>
      </c>
      <c r="E118" s="3">
        <v>7.1919237747058587E-3</v>
      </c>
      <c r="F118" s="3">
        <v>2.1481888815899578E-2</v>
      </c>
      <c r="G118" s="3">
        <v>3.9664449480632307E-3</v>
      </c>
      <c r="H118" s="3">
        <f>(Sheet1!$Y$19*' Rolling-window portfolio analy'!B118+Sheet1!$Z$19*' Rolling-window portfolio analy'!C118+Sheet1!$AA$19*' Rolling-window portfolio analy'!D118+Sheet1!$AB$19*' Rolling-window portfolio analy'!E118+Sheet1!$AC$19*' Rolling-window portfolio analy'!F118)</f>
        <v>-2.0315396669321872E-5</v>
      </c>
      <c r="I118" s="6">
        <f t="shared" si="0"/>
        <v>1.5919378227053118</v>
      </c>
      <c r="J118" s="86">
        <f t="shared" si="1"/>
        <v>1.2875641994820647E-4</v>
      </c>
    </row>
    <row r="119" spans="1:10" x14ac:dyDescent="0.3">
      <c r="A119" s="2">
        <v>45862</v>
      </c>
      <c r="B119" s="3">
        <v>-1.8228137130991598E-3</v>
      </c>
      <c r="C119" s="3">
        <v>1.718375035231447E-2</v>
      </c>
      <c r="D119" s="3">
        <v>-8.5525395203549792E-2</v>
      </c>
      <c r="E119" s="3">
        <v>2.3009864725609855E-2</v>
      </c>
      <c r="F119" s="3">
        <v>8.5751041412918268E-4</v>
      </c>
      <c r="G119" s="3">
        <v>6.9798922208170696E-4</v>
      </c>
      <c r="H119" s="3">
        <f>(Sheet1!$Y$19*' Rolling-window portfolio analy'!B119+Sheet1!$Z$19*' Rolling-window portfolio analy'!C119+Sheet1!$AA$19*' Rolling-window portfolio analy'!D119+Sheet1!$AB$19*' Rolling-window portfolio analy'!E119+Sheet1!$AC$19*' Rolling-window portfolio analy'!F119)</f>
        <v>1.2823539628826703E-2</v>
      </c>
      <c r="I119" s="6">
        <f t="shared" si="0"/>
        <v>1.5875382000756773</v>
      </c>
      <c r="J119" s="86">
        <f t="shared" si="1"/>
        <v>2.8146391652657862E-4</v>
      </c>
    </row>
    <row r="120" spans="1:10" x14ac:dyDescent="0.3">
      <c r="A120" s="2">
        <v>45861</v>
      </c>
      <c r="B120" s="3">
        <v>-1.1667251352669031E-3</v>
      </c>
      <c r="C120" s="3">
        <v>2.2202741477603823E-2</v>
      </c>
      <c r="D120" s="3">
        <v>1.3540556027952946E-3</v>
      </c>
      <c r="E120" s="3">
        <v>0.11014664504541247</v>
      </c>
      <c r="F120" s="3">
        <v>-7.4074412778616936E-3</v>
      </c>
      <c r="G120" s="3">
        <v>7.7815261467118115E-3</v>
      </c>
      <c r="H120" s="3">
        <f>(Sheet1!$Y$19*' Rolling-window portfolio analy'!B120+Sheet1!$Z$19*' Rolling-window portfolio analy'!C120+Sheet1!$AA$19*' Rolling-window portfolio analy'!D120+Sheet1!$AB$19*' Rolling-window portfolio analy'!E120+Sheet1!$AC$19*' Rolling-window portfolio analy'!F120)</f>
        <v>2.4695776339419589E-2</v>
      </c>
      <c r="I120" s="6">
        <f t="shared" si="0"/>
        <v>1.6587342617219833</v>
      </c>
      <c r="J120" s="86">
        <f t="shared" si="1"/>
        <v>1.7189427828016661E-4</v>
      </c>
    </row>
    <row r="121" spans="1:10" x14ac:dyDescent="0.3">
      <c r="A121" s="2">
        <v>45860</v>
      </c>
      <c r="B121" s="3">
        <v>8.9955629085780031E-3</v>
      </c>
      <c r="C121" s="3">
        <v>-2.5709876239116483E-2</v>
      </c>
      <c r="D121" s="3">
        <v>1.095984328057463E-2</v>
      </c>
      <c r="E121" s="3">
        <v>4.2569239193632393E-3</v>
      </c>
      <c r="F121" s="3">
        <v>2.5004895237091564E-2</v>
      </c>
      <c r="G121" s="3">
        <v>6.3732541106239072E-4</v>
      </c>
      <c r="H121" s="3">
        <f>(Sheet1!$Y$19*' Rolling-window portfolio analy'!B121+Sheet1!$Z$19*' Rolling-window portfolio analy'!C121+Sheet1!$AA$19*' Rolling-window portfolio analy'!D121+Sheet1!$AB$19*' Rolling-window portfolio analy'!E121+Sheet1!$AC$19*' Rolling-window portfolio analy'!F121)</f>
        <v>-1.4170058052131096E-2</v>
      </c>
      <c r="I121" s="6">
        <f t="shared" si="0"/>
        <v>1.6676805131898089</v>
      </c>
      <c r="J121" s="86">
        <f t="shared" si="1"/>
        <v>2.1099294361409063E-5</v>
      </c>
    </row>
    <row r="122" spans="1:10" x14ac:dyDescent="0.3">
      <c r="A122" s="2">
        <v>45859</v>
      </c>
      <c r="B122" s="3">
        <v>6.1370159097006195E-3</v>
      </c>
      <c r="C122" s="3">
        <v>-5.9920479467871594E-3</v>
      </c>
      <c r="D122" s="3">
        <v>-3.5250894982966565E-3</v>
      </c>
      <c r="E122" s="3">
        <v>3.2675660592522957E-3</v>
      </c>
      <c r="F122" s="3">
        <v>-8.727273281202262E-4</v>
      </c>
      <c r="G122" s="3">
        <v>1.3981477220053166E-3</v>
      </c>
      <c r="H122" s="3">
        <f>(Sheet1!$Y$19*' Rolling-window portfolio analy'!B122+Sheet1!$Z$19*' Rolling-window portfolio analy'!C122+Sheet1!$AA$19*' Rolling-window portfolio analy'!D122+Sheet1!$AB$19*' Rolling-window portfolio analy'!E122+Sheet1!$AC$19*' Rolling-window portfolio analy'!F122)</f>
        <v>-2.0929127563498982E-3</v>
      </c>
      <c r="I122" s="6">
        <f t="shared" si="0"/>
        <v>1.6413058945409353</v>
      </c>
      <c r="J122" s="86">
        <f t="shared" si="1"/>
        <v>4.3683975047087474E-4</v>
      </c>
    </row>
    <row r="123" spans="1:10" x14ac:dyDescent="0.3">
      <c r="A123" s="2">
        <v>45856</v>
      </c>
      <c r="B123" s="3">
        <v>5.5080861005209316E-3</v>
      </c>
      <c r="C123" s="3">
        <v>-3.416233310019081E-3</v>
      </c>
      <c r="D123" s="3">
        <v>3.1555941564684054E-2</v>
      </c>
      <c r="E123" s="3">
        <v>1.3688426660577107E-2</v>
      </c>
      <c r="F123" s="3">
        <v>-3.1934995931392303E-3</v>
      </c>
      <c r="G123" s="3">
        <v>-9.051821685285016E-5</v>
      </c>
      <c r="H123" s="3">
        <f>(Sheet1!$Y$19*' Rolling-window portfolio analy'!B123+Sheet1!$Z$19*' Rolling-window portfolio analy'!C123+Sheet1!$AA$19*' Rolling-window portfolio analy'!D123+Sheet1!$AB$19*' Rolling-window portfolio analy'!E123+Sheet1!$AC$19*' Rolling-window portfolio analy'!F123)</f>
        <v>4.8907812179459274E-4</v>
      </c>
      <c r="I123" s="6">
        <f t="shared" si="0"/>
        <v>1.6654087154975485</v>
      </c>
      <c r="J123" s="86">
        <f t="shared" si="1"/>
        <v>4.9815096407903573E-4</v>
      </c>
    </row>
    <row r="124" spans="1:10" x14ac:dyDescent="0.3">
      <c r="A124" s="2">
        <v>45855</v>
      </c>
      <c r="B124" s="3">
        <v>-6.6638109943707117E-4</v>
      </c>
      <c r="C124" s="3">
        <v>9.466632825021094E-3</v>
      </c>
      <c r="D124" s="3">
        <v>-7.0506313168599444E-3</v>
      </c>
      <c r="E124" s="3">
        <v>1.2843741931301134E-2</v>
      </c>
      <c r="F124" s="3">
        <v>3.660385027253258E-2</v>
      </c>
      <c r="G124" s="3">
        <v>5.359433132147322E-3</v>
      </c>
      <c r="H124" s="3">
        <f>(Sheet1!$Y$19*' Rolling-window portfolio analy'!B124+Sheet1!$Z$19*' Rolling-window portfolio analy'!C124+Sheet1!$AA$19*' Rolling-window portfolio analy'!D124+Sheet1!$AB$19*' Rolling-window portfolio analy'!E124+Sheet1!$AC$19*' Rolling-window portfolio analy'!F124)</f>
        <v>7.2371272896341789E-3</v>
      </c>
      <c r="I124" s="6">
        <f t="shared" si="0"/>
        <v>1.6260108986165698</v>
      </c>
      <c r="J124" s="86">
        <f t="shared" si="1"/>
        <v>5.3922716415038662E-4</v>
      </c>
    </row>
    <row r="125" spans="1:10" x14ac:dyDescent="0.3">
      <c r="A125" s="2">
        <v>45854</v>
      </c>
      <c r="B125" s="3">
        <v>5.0087160785759338E-3</v>
      </c>
      <c r="C125" s="3">
        <v>3.9173318723629844E-3</v>
      </c>
      <c r="D125" s="3">
        <v>3.4440908952896469E-2</v>
      </c>
      <c r="E125" s="3">
        <v>-7.9825324094124732E-3</v>
      </c>
      <c r="F125" s="3">
        <v>-6.592771856492886E-3</v>
      </c>
      <c r="G125" s="3">
        <v>3.1884998062567844E-3</v>
      </c>
      <c r="H125" s="3">
        <f>(Sheet1!$Y$19*' Rolling-window portfolio analy'!B125+Sheet1!$Z$19*' Rolling-window portfolio analy'!C125+Sheet1!$AA$19*' Rolling-window portfolio analy'!D125+Sheet1!$AB$19*' Rolling-window portfolio analy'!E125+Sheet1!$AC$19*' Rolling-window portfolio analy'!F125)</f>
        <v>3.1152689621992869E-3</v>
      </c>
      <c r="I125" s="6">
        <f t="shared" si="0"/>
        <v>1.6519795783632052</v>
      </c>
      <c r="J125" s="86">
        <f t="shared" si="1"/>
        <v>2.6629359621257141E-4</v>
      </c>
    </row>
    <row r="126" spans="1:10" x14ac:dyDescent="0.3">
      <c r="A126" s="2">
        <v>45853</v>
      </c>
      <c r="B126" s="3">
        <v>2.3460140508832585E-3</v>
      </c>
      <c r="C126" s="3">
        <v>3.961446377360394E-2</v>
      </c>
      <c r="D126" s="3">
        <v>-1.9501000338286958E-2</v>
      </c>
      <c r="E126" s="3">
        <v>-2.2318958398757548E-2</v>
      </c>
      <c r="F126" s="3">
        <v>-1.4823870622511417E-2</v>
      </c>
      <c r="G126" s="3">
        <v>-3.9640981809521275E-3</v>
      </c>
      <c r="H126" s="3">
        <f>(Sheet1!$Y$19*' Rolling-window portfolio analy'!B126+Sheet1!$Z$19*' Rolling-window portfolio analy'!C126+Sheet1!$AA$19*' Rolling-window portfolio analy'!D126+Sheet1!$AB$19*' Rolling-window portfolio analy'!E126+Sheet1!$AC$19*' Rolling-window portfolio analy'!F126)</f>
        <v>2.4364182016953E-2</v>
      </c>
      <c r="I126" s="6">
        <f t="shared" si="0"/>
        <v>1.5479441536274756</v>
      </c>
      <c r="J126" s="86">
        <f t="shared" si="1"/>
        <v>8.047093734149561E-4</v>
      </c>
    </row>
    <row r="127" spans="1:10" x14ac:dyDescent="0.3">
      <c r="A127" s="2">
        <v>45852</v>
      </c>
      <c r="B127" s="3">
        <v>-1.210172470759039E-2</v>
      </c>
      <c r="C127" s="3">
        <v>-5.1673418119081264E-3</v>
      </c>
      <c r="D127" s="3">
        <v>1.0755009205992924E-2</v>
      </c>
      <c r="E127" s="3">
        <v>-2.0603931055285841E-2</v>
      </c>
      <c r="F127" s="3">
        <v>-3.5252680456852713E-3</v>
      </c>
      <c r="G127" s="3">
        <v>1.4064149836943984E-3</v>
      </c>
      <c r="H127" s="3">
        <f>(Sheet1!$Y$19*' Rolling-window portfolio analy'!B127+Sheet1!$Z$19*' Rolling-window portfolio analy'!C127+Sheet1!$AA$19*' Rolling-window portfolio analy'!D127+Sheet1!$AB$19*' Rolling-window portfolio analy'!E127+Sheet1!$AC$19*' Rolling-window portfolio analy'!F127)</f>
        <v>-8.3272509738966539E-3</v>
      </c>
      <c r="I127" s="6">
        <f t="shared" ref="I127:I190" si="2">SLOPE(H68:H127,G68:G127)</f>
        <v>1.5532732781243386</v>
      </c>
      <c r="J127" s="86">
        <f t="shared" ref="J127:J190" si="3">AVERAGE(H68:H127)-($N$1+I127*(AVERAGE(G68:G127)-$N$1))</f>
        <v>5.7580294686242358E-4</v>
      </c>
    </row>
    <row r="128" spans="1:10" x14ac:dyDescent="0.3">
      <c r="A128" s="2">
        <v>45849</v>
      </c>
      <c r="B128" s="3">
        <v>-5.902229283378157E-3</v>
      </c>
      <c r="C128" s="3">
        <v>4.9845097426541108E-3</v>
      </c>
      <c r="D128" s="3">
        <v>1.1678402804230398E-2</v>
      </c>
      <c r="E128" s="3">
        <v>2.4625047305389194E-2</v>
      </c>
      <c r="F128" s="3">
        <v>1.6558627894408276E-2</v>
      </c>
      <c r="G128" s="3">
        <v>-3.3029779929135954E-3</v>
      </c>
      <c r="H128" s="3">
        <f>(Sheet1!$Y$19*' Rolling-window portfolio analy'!B128+Sheet1!$Z$19*' Rolling-window portfolio analy'!C128+Sheet1!$AA$19*' Rolling-window portfolio analy'!D128+Sheet1!$AB$19*' Rolling-window portfolio analy'!E128+Sheet1!$AC$19*' Rolling-window portfolio analy'!F128)</f>
        <v>4.1524244003576481E-3</v>
      </c>
      <c r="I128" s="6">
        <f t="shared" si="2"/>
        <v>1.5504498508427285</v>
      </c>
      <c r="J128" s="86">
        <f t="shared" si="3"/>
        <v>9.5010554547164216E-4</v>
      </c>
    </row>
    <row r="129" spans="1:10" x14ac:dyDescent="0.3">
      <c r="A129" s="2">
        <v>45848</v>
      </c>
      <c r="B129" s="3">
        <v>5.9969486772448706E-3</v>
      </c>
      <c r="C129" s="3">
        <v>7.462264733887297E-3</v>
      </c>
      <c r="D129" s="3">
        <v>4.6198887966984868E-2</v>
      </c>
      <c r="E129" s="3">
        <v>9.6154586994419734E-3</v>
      </c>
      <c r="F129" s="3">
        <v>6.2808640754145797E-3</v>
      </c>
      <c r="G129" s="3">
        <v>2.7424098720043449E-3</v>
      </c>
      <c r="H129" s="3">
        <f>(Sheet1!$Y$19*' Rolling-window portfolio analy'!B129+Sheet1!$Z$19*' Rolling-window portfolio analy'!C129+Sheet1!$AA$19*' Rolling-window portfolio analy'!D129+Sheet1!$AB$19*' Rolling-window portfolio analy'!E129+Sheet1!$AC$19*' Rolling-window portfolio analy'!F129)</f>
        <v>7.3723745552871046E-3</v>
      </c>
      <c r="I129" s="6">
        <f t="shared" si="2"/>
        <v>1.5497478639269122</v>
      </c>
      <c r="J129" s="86">
        <f t="shared" si="3"/>
        <v>1.0609604565375967E-3</v>
      </c>
    </row>
    <row r="130" spans="1:10" x14ac:dyDescent="0.3">
      <c r="A130" s="2">
        <v>45847</v>
      </c>
      <c r="B130" s="3">
        <v>5.3662719302117997E-3</v>
      </c>
      <c r="C130" s="3">
        <v>1.7839918128331016E-2</v>
      </c>
      <c r="D130" s="3">
        <v>-6.5017325500732704E-3</v>
      </c>
      <c r="E130" s="3">
        <v>-1.9638093338243404E-2</v>
      </c>
      <c r="F130" s="3">
        <v>-1.7985616359148672E-3</v>
      </c>
      <c r="G130" s="3">
        <v>6.0438433346768419E-3</v>
      </c>
      <c r="H130" s="3">
        <f>(Sheet1!$Y$19*' Rolling-window portfolio analy'!B130+Sheet1!$Z$19*' Rolling-window portfolio analy'!C130+Sheet1!$AA$19*' Rolling-window portfolio analy'!D130+Sheet1!$AB$19*' Rolling-window portfolio analy'!E130+Sheet1!$AC$19*' Rolling-window portfolio analy'!F130)</f>
        <v>1.1138598999493423E-2</v>
      </c>
      <c r="I130" s="6">
        <f t="shared" si="2"/>
        <v>1.5539503317173549</v>
      </c>
      <c r="J130" s="86">
        <f t="shared" si="3"/>
        <v>9.7925735378144455E-4</v>
      </c>
    </row>
    <row r="131" spans="1:10" x14ac:dyDescent="0.3">
      <c r="A131" s="2">
        <v>45846</v>
      </c>
      <c r="B131" s="3">
        <v>2.8574150113462317E-4</v>
      </c>
      <c r="C131" s="3">
        <v>1.1060947359424976E-2</v>
      </c>
      <c r="D131" s="3">
        <v>1.3080034391201647E-2</v>
      </c>
      <c r="E131" s="3">
        <v>2.5758999977098053E-2</v>
      </c>
      <c r="F131" s="3">
        <v>1.0234887657867961E-2</v>
      </c>
      <c r="G131" s="3">
        <v>-7.1614952279967596E-4</v>
      </c>
      <c r="H131" s="3">
        <f>(Sheet1!$Y$19*' Rolling-window portfolio analy'!B131+Sheet1!$Z$19*' Rolling-window portfolio analy'!C131+Sheet1!$AA$19*' Rolling-window portfolio analy'!D131+Sheet1!$AB$19*' Rolling-window portfolio analy'!E131+Sheet1!$AC$19*' Rolling-window portfolio analy'!F131)</f>
        <v>9.779271840633489E-3</v>
      </c>
      <c r="I131" s="6">
        <f t="shared" si="2"/>
        <v>1.5476889589621154</v>
      </c>
      <c r="J131" s="86">
        <f t="shared" si="3"/>
        <v>1.2139914636237978E-3</v>
      </c>
    </row>
    <row r="132" spans="1:10" x14ac:dyDescent="0.3">
      <c r="A132" s="2">
        <v>45845</v>
      </c>
      <c r="B132" s="3">
        <v>-1.7001590157273334E-2</v>
      </c>
      <c r="C132" s="3">
        <v>-6.9274160778179843E-3</v>
      </c>
      <c r="D132" s="3">
        <v>-7.0307468231121828E-2</v>
      </c>
      <c r="E132" s="3">
        <v>-1.3972029656923672E-2</v>
      </c>
      <c r="F132" s="3">
        <v>-1.6504500671463425E-2</v>
      </c>
      <c r="G132" s="3">
        <v>-7.8933494172341197E-3</v>
      </c>
      <c r="H132" s="3">
        <f>(Sheet1!$Y$19*' Rolling-window portfolio analy'!B132+Sheet1!$Z$19*' Rolling-window portfolio analy'!C132+Sheet1!$AA$19*' Rolling-window portfolio analy'!D132+Sheet1!$AB$19*' Rolling-window portfolio analy'!E132+Sheet1!$AC$19*' Rolling-window portfolio analy'!F132)</f>
        <v>-1.0215894462979254E-2</v>
      </c>
      <c r="I132" s="6">
        <f t="shared" si="2"/>
        <v>1.5329330434399189</v>
      </c>
      <c r="J132" s="86">
        <f t="shared" si="3"/>
        <v>1.1395673786687109E-3</v>
      </c>
    </row>
    <row r="133" spans="1:10" x14ac:dyDescent="0.3">
      <c r="A133" s="2">
        <v>45841</v>
      </c>
      <c r="B133" s="3">
        <v>5.2114017332771934E-3</v>
      </c>
      <c r="C133" s="3">
        <v>1.3203388371670191E-2</v>
      </c>
      <c r="D133" s="3">
        <v>-9.5087170397421805E-4</v>
      </c>
      <c r="E133" s="3">
        <v>-4.7816877317656149E-3</v>
      </c>
      <c r="F133" s="3">
        <v>-2.975747678556785E-4</v>
      </c>
      <c r="G133" s="3">
        <v>8.3043501133723049E-3</v>
      </c>
      <c r="H133" s="3">
        <f>(Sheet1!$Y$19*' Rolling-window portfolio analy'!B133+Sheet1!$Z$19*' Rolling-window portfolio analy'!C133+Sheet1!$AA$19*' Rolling-window portfolio analy'!D133+Sheet1!$AB$19*' Rolling-window portfolio analy'!E133+Sheet1!$AC$19*' Rolling-window portfolio analy'!F133)</f>
        <v>9.4841712343346277E-3</v>
      </c>
      <c r="I133" s="6">
        <f t="shared" si="2"/>
        <v>1.510030142821424</v>
      </c>
      <c r="J133" s="86">
        <f t="shared" si="3"/>
        <v>9.6752538432166705E-4</v>
      </c>
    </row>
    <row r="134" spans="1:10" x14ac:dyDescent="0.3">
      <c r="A134" s="2">
        <v>45840</v>
      </c>
      <c r="B134" s="3">
        <v>2.1987275129697868E-2</v>
      </c>
      <c r="C134" s="3">
        <v>2.5440109702781329E-2</v>
      </c>
      <c r="D134" s="3">
        <v>4.8487659635496415E-2</v>
      </c>
      <c r="E134" s="3">
        <v>2.9039228481131173E-2</v>
      </c>
      <c r="F134" s="3">
        <v>4.1741265137790716E-3</v>
      </c>
      <c r="G134" s="3">
        <v>4.7338490372572867E-3</v>
      </c>
      <c r="H134" s="3">
        <f>(Sheet1!$Y$19*' Rolling-window portfolio analy'!B134+Sheet1!$Z$19*' Rolling-window portfolio analy'!C134+Sheet1!$AA$19*' Rolling-window portfolio analy'!D134+Sheet1!$AB$19*' Rolling-window portfolio analy'!E134+Sheet1!$AC$19*' Rolling-window portfolio analy'!F134)</f>
        <v>2.4964664967082238E-2</v>
      </c>
      <c r="I134" s="6">
        <f t="shared" si="2"/>
        <v>1.5659367262239641</v>
      </c>
      <c r="J134" s="86">
        <f t="shared" si="3"/>
        <v>1.3400699282798275E-3</v>
      </c>
    </row>
    <row r="135" spans="1:10" x14ac:dyDescent="0.3">
      <c r="A135" s="2">
        <v>45839</v>
      </c>
      <c r="B135" s="3">
        <v>1.2833416646386379E-2</v>
      </c>
      <c r="C135" s="3">
        <v>-3.0134954006989227E-2</v>
      </c>
      <c r="D135" s="3">
        <v>-5.4835283228870893E-2</v>
      </c>
      <c r="E135" s="3">
        <v>9.0874310949231058E-3</v>
      </c>
      <c r="F135" s="3">
        <v>2.5417404618005884E-2</v>
      </c>
      <c r="G135" s="3">
        <v>-1.1190878184368853E-3</v>
      </c>
      <c r="H135" s="3">
        <f>(Sheet1!$Y$19*' Rolling-window portfolio analy'!B135+Sheet1!$Z$19*' Rolling-window portfolio analy'!C135+Sheet1!$AA$19*' Rolling-window portfolio analy'!D135+Sheet1!$AB$19*' Rolling-window portfolio analy'!E135+Sheet1!$AC$19*' Rolling-window portfolio analy'!F135)</f>
        <v>-1.577360089127456E-2</v>
      </c>
      <c r="I135" s="6">
        <f t="shared" si="2"/>
        <v>1.6327330921128591</v>
      </c>
      <c r="J135" s="86">
        <f t="shared" si="3"/>
        <v>7.8647324535397129E-4</v>
      </c>
    </row>
    <row r="136" spans="1:10" x14ac:dyDescent="0.3">
      <c r="A136" s="2">
        <v>45838</v>
      </c>
      <c r="B136" s="3">
        <v>2.0136064953739752E-2</v>
      </c>
      <c r="C136" s="3">
        <v>1.5202384634350752E-3</v>
      </c>
      <c r="D136" s="3">
        <v>-1.8619259526030434E-2</v>
      </c>
      <c r="E136" s="3">
        <v>7.3298757494950914E-3</v>
      </c>
      <c r="F136" s="3">
        <v>-8.5444523500190928E-3</v>
      </c>
      <c r="G136" s="3">
        <v>5.1510775537443156E-3</v>
      </c>
      <c r="H136" s="3">
        <f>(Sheet1!$Y$19*' Rolling-window portfolio analy'!B136+Sheet1!$Z$19*' Rolling-window portfolio analy'!C136+Sheet1!$AA$19*' Rolling-window portfolio analy'!D136+Sheet1!$AB$19*' Rolling-window portfolio analy'!E136+Sheet1!$AC$19*' Rolling-window portfolio analy'!F136)</f>
        <v>6.6642505359776174E-3</v>
      </c>
      <c r="I136" s="6">
        <f t="shared" si="2"/>
        <v>1.6238293929041734</v>
      </c>
      <c r="J136" s="86">
        <f t="shared" si="3"/>
        <v>7.8262770295467552E-4</v>
      </c>
    </row>
    <row r="137" spans="1:10" x14ac:dyDescent="0.3">
      <c r="A137" s="2">
        <v>45835</v>
      </c>
      <c r="B137" s="3">
        <v>3.9793076529873232E-4</v>
      </c>
      <c r="C137" s="3">
        <v>1.7457360567957013E-2</v>
      </c>
      <c r="D137" s="3">
        <v>-6.6214189964193901E-3</v>
      </c>
      <c r="E137" s="3">
        <v>-6.8080912346563088E-3</v>
      </c>
      <c r="F137" s="3">
        <v>1.0384943667106428E-2</v>
      </c>
      <c r="G137" s="3">
        <v>5.2054309121066676E-3</v>
      </c>
      <c r="H137" s="3">
        <f>(Sheet1!$Y$19*' Rolling-window portfolio analy'!B137+Sheet1!$Z$19*' Rolling-window portfolio analy'!C137+Sheet1!$AA$19*' Rolling-window portfolio analy'!D137+Sheet1!$AB$19*' Rolling-window portfolio analy'!E137+Sheet1!$AC$19*' Rolling-window portfolio analy'!F137)</f>
        <v>1.086946736689148E-2</v>
      </c>
      <c r="I137" s="6">
        <f t="shared" si="2"/>
        <v>1.58981461577191</v>
      </c>
      <c r="J137" s="86">
        <f t="shared" si="3"/>
        <v>1.0153634050590766E-3</v>
      </c>
    </row>
    <row r="138" spans="1:10" x14ac:dyDescent="0.3">
      <c r="A138" s="2">
        <v>45834</v>
      </c>
      <c r="B138" s="3">
        <v>-2.782195753321553E-3</v>
      </c>
      <c r="C138" s="3">
        <v>4.5905747702518936E-3</v>
      </c>
      <c r="D138" s="3">
        <v>-5.4184082484264639E-3</v>
      </c>
      <c r="E138" s="3">
        <v>1.9499959117340652E-2</v>
      </c>
      <c r="F138" s="3">
        <v>2.4592696071331645E-3</v>
      </c>
      <c r="G138" s="3">
        <v>7.9881534997771932E-3</v>
      </c>
      <c r="H138" s="3">
        <f>(Sheet1!$Y$19*' Rolling-window portfolio analy'!B138+Sheet1!$Z$19*' Rolling-window portfolio analy'!C138+Sheet1!$AA$19*' Rolling-window portfolio analy'!D138+Sheet1!$AB$19*' Rolling-window portfolio analy'!E138+Sheet1!$AC$19*' Rolling-window portfolio analy'!F138)</f>
        <v>4.1532580434627767E-3</v>
      </c>
      <c r="I138" s="6">
        <f t="shared" si="2"/>
        <v>1.5101228731428313</v>
      </c>
      <c r="J138" s="86">
        <f t="shared" si="3"/>
        <v>4.8914979126794128E-4</v>
      </c>
    </row>
    <row r="139" spans="1:10" x14ac:dyDescent="0.3">
      <c r="A139" s="2">
        <v>45833</v>
      </c>
      <c r="B139" s="3">
        <v>6.2708611406248112E-3</v>
      </c>
      <c r="C139" s="3">
        <v>4.242719636635936E-2</v>
      </c>
      <c r="D139" s="3">
        <v>-3.8686300803271921E-2</v>
      </c>
      <c r="E139" s="3">
        <v>-1.0324380258391674E-2</v>
      </c>
      <c r="F139" s="3">
        <v>3.0783438753196138E-4</v>
      </c>
      <c r="G139" s="3">
        <v>-3.2829024797798922E-6</v>
      </c>
      <c r="H139" s="3">
        <f>(Sheet1!$Y$19*' Rolling-window portfolio analy'!B139+Sheet1!$Z$19*' Rolling-window portfolio analy'!C139+Sheet1!$AA$19*' Rolling-window portfolio analy'!D139+Sheet1!$AB$19*' Rolling-window portfolio analy'!E139+Sheet1!$AC$19*' Rolling-window portfolio analy'!F139)</f>
        <v>2.8284578155436484E-2</v>
      </c>
      <c r="I139" s="6">
        <f t="shared" si="2"/>
        <v>1.484640321686612</v>
      </c>
      <c r="J139" s="86">
        <f t="shared" si="3"/>
        <v>9.5533317914130644E-4</v>
      </c>
    </row>
    <row r="140" spans="1:10" x14ac:dyDescent="0.3">
      <c r="A140" s="2">
        <v>45832</v>
      </c>
      <c r="B140" s="3">
        <v>-5.9731387149650926E-3</v>
      </c>
      <c r="C140" s="3">
        <v>2.5543210892941814E-2</v>
      </c>
      <c r="D140" s="3">
        <v>-2.3827580162217969E-2</v>
      </c>
      <c r="E140" s="3">
        <v>3.6939355987730621E-3</v>
      </c>
      <c r="F140" s="3">
        <v>1.8489989859470026E-3</v>
      </c>
      <c r="G140" s="3">
        <v>1.1060286796932295E-2</v>
      </c>
      <c r="H140" s="3">
        <f>(Sheet1!$Y$19*' Rolling-window portfolio analy'!B140+Sheet1!$Z$19*' Rolling-window portfolio analy'!C140+Sheet1!$AA$19*' Rolling-window portfolio analy'!D140+Sheet1!$AB$19*' Rolling-window portfolio analy'!E140+Sheet1!$AC$19*' Rolling-window portfolio analy'!F140)</f>
        <v>1.5543462992352007E-2</v>
      </c>
      <c r="I140" s="6">
        <f t="shared" si="2"/>
        <v>1.449873835882427</v>
      </c>
      <c r="J140" s="86">
        <f t="shared" si="3"/>
        <v>7.2443806303204746E-4</v>
      </c>
    </row>
    <row r="141" spans="1:10" x14ac:dyDescent="0.3">
      <c r="A141" s="2">
        <v>45831</v>
      </c>
      <c r="B141" s="3">
        <v>2.4844733276619658E-3</v>
      </c>
      <c r="C141" s="3">
        <v>2.2220688262553491E-3</v>
      </c>
      <c r="D141" s="3">
        <v>7.9106279600176424E-2</v>
      </c>
      <c r="E141" s="3">
        <v>-3.0459207484708574E-2</v>
      </c>
      <c r="F141" s="3">
        <v>1.1166369126123081E-2</v>
      </c>
      <c r="G141" s="3">
        <v>9.5606418556962881E-3</v>
      </c>
      <c r="H141" s="3">
        <f>(Sheet1!$Y$19*' Rolling-window portfolio analy'!B141+Sheet1!$Z$19*' Rolling-window portfolio analy'!C141+Sheet1!$AA$19*' Rolling-window portfolio analy'!D141+Sheet1!$AB$19*' Rolling-window portfolio analy'!E141+Sheet1!$AC$19*' Rolling-window portfolio analy'!F141)</f>
        <v>-6.7340543402792099E-4</v>
      </c>
      <c r="I141" s="6">
        <f t="shared" si="2"/>
        <v>1.3644501448320423</v>
      </c>
      <c r="J141" s="86">
        <f t="shared" si="3"/>
        <v>8.9044538059851724E-4</v>
      </c>
    </row>
    <row r="142" spans="1:10" x14ac:dyDescent="0.3">
      <c r="A142" s="2">
        <v>45828</v>
      </c>
      <c r="B142" s="3">
        <v>2.2235434920592347E-2</v>
      </c>
      <c r="C142" s="3">
        <v>-1.1267530121231335E-2</v>
      </c>
      <c r="D142" s="3">
        <v>3.415035502990741E-4</v>
      </c>
      <c r="E142" s="3">
        <v>5.1295205023169457E-4</v>
      </c>
      <c r="F142" s="3">
        <v>-5.5987704570206161E-3</v>
      </c>
      <c r="G142" s="3">
        <v>-2.1809894398640384E-3</v>
      </c>
      <c r="H142" s="3">
        <f>(Sheet1!$Y$19*' Rolling-window portfolio analy'!B142+Sheet1!$Z$19*' Rolling-window portfolio analy'!C142+Sheet1!$AA$19*' Rolling-window portfolio analy'!D142+Sheet1!$AB$19*' Rolling-window portfolio analy'!E142+Sheet1!$AC$19*' Rolling-window portfolio analy'!F142)</f>
        <v>-1.797366140402551E-3</v>
      </c>
      <c r="I142" s="6">
        <f t="shared" si="2"/>
        <v>1.3542413165417222</v>
      </c>
      <c r="J142" s="86">
        <f t="shared" si="3"/>
        <v>1.0156217722489015E-3</v>
      </c>
    </row>
    <row r="143" spans="1:10" x14ac:dyDescent="0.3">
      <c r="A143" s="2">
        <v>45826</v>
      </c>
      <c r="B143" s="3">
        <v>4.7932374673270439E-3</v>
      </c>
      <c r="C143" s="3">
        <v>9.3923342388956815E-3</v>
      </c>
      <c r="D143" s="3">
        <v>1.7857617400006472E-2</v>
      </c>
      <c r="E143" s="3">
        <v>-1.5780424181020269E-2</v>
      </c>
      <c r="F143" s="3">
        <v>3.7290285598668544E-3</v>
      </c>
      <c r="G143" s="3">
        <v>-3.0927171772794648E-4</v>
      </c>
      <c r="H143" s="3">
        <f>(Sheet1!$Y$19*' Rolling-window portfolio analy'!B143+Sheet1!$Z$19*' Rolling-window portfolio analy'!C143+Sheet1!$AA$19*' Rolling-window portfolio analy'!D143+Sheet1!$AB$19*' Rolling-window portfolio analy'!E143+Sheet1!$AC$19*' Rolling-window portfolio analy'!F143)</f>
        <v>5.8760646935538214E-3</v>
      </c>
      <c r="I143" s="6">
        <f t="shared" si="2"/>
        <v>1.3572479579378072</v>
      </c>
      <c r="J143" s="86">
        <f t="shared" si="3"/>
        <v>1.1862866842859226E-3</v>
      </c>
    </row>
    <row r="144" spans="1:10" x14ac:dyDescent="0.3">
      <c r="A144" s="2">
        <v>45825</v>
      </c>
      <c r="B144" s="3">
        <v>-1.4109760550600002E-2</v>
      </c>
      <c r="C144" s="3">
        <v>-3.9472368690976218E-3</v>
      </c>
      <c r="D144" s="3">
        <v>-3.960361390461585E-2</v>
      </c>
      <c r="E144" s="3">
        <v>1.5523915265928957E-2</v>
      </c>
      <c r="F144" s="3">
        <v>-1.3605652055778822E-2</v>
      </c>
      <c r="G144" s="3">
        <v>-8.3873182957623672E-3</v>
      </c>
      <c r="H144" s="3">
        <f>(Sheet1!$Y$19*' Rolling-window portfolio analy'!B144+Sheet1!$Z$19*' Rolling-window portfolio analy'!C144+Sheet1!$AA$19*' Rolling-window portfolio analy'!D144+Sheet1!$AB$19*' Rolling-window portfolio analy'!E144+Sheet1!$AC$19*' Rolling-window portfolio analy'!F144)</f>
        <v>-4.6920991346466965E-3</v>
      </c>
      <c r="I144" s="6">
        <f t="shared" si="2"/>
        <v>1.3354673845142051</v>
      </c>
      <c r="J144" s="86">
        <f t="shared" si="3"/>
        <v>1.2172866441344952E-3</v>
      </c>
    </row>
    <row r="145" spans="1:10" x14ac:dyDescent="0.3">
      <c r="A145" s="2">
        <v>45824</v>
      </c>
      <c r="B145" s="3">
        <v>9.9780502172876224E-3</v>
      </c>
      <c r="C145" s="3">
        <v>1.8977755073507491E-2</v>
      </c>
      <c r="D145" s="3">
        <v>1.1674235636098084E-2</v>
      </c>
      <c r="E145" s="3">
        <v>-1.2815585503857345E-3</v>
      </c>
      <c r="F145" s="3">
        <v>1.3605652055778678E-2</v>
      </c>
      <c r="G145" s="3">
        <v>9.3488817548551834E-3</v>
      </c>
      <c r="H145" s="3">
        <f>(Sheet1!$Y$19*' Rolling-window portfolio analy'!B145+Sheet1!$Z$19*' Rolling-window portfolio analy'!C145+Sheet1!$AA$19*' Rolling-window portfolio analy'!D145+Sheet1!$AB$19*' Rolling-window portfolio analy'!E145+Sheet1!$AC$19*' Rolling-window portfolio analy'!F145)</f>
        <v>1.4804624832892618E-2</v>
      </c>
      <c r="I145" s="6">
        <f t="shared" si="2"/>
        <v>1.3716102777000991</v>
      </c>
      <c r="J145" s="86">
        <f t="shared" si="3"/>
        <v>1.3439215227692629E-3</v>
      </c>
    </row>
    <row r="146" spans="1:10" x14ac:dyDescent="0.3">
      <c r="A146" s="2">
        <v>45821</v>
      </c>
      <c r="B146" s="3">
        <v>-1.3901399146029038E-2</v>
      </c>
      <c r="C146" s="3">
        <v>-2.1117974745091833E-2</v>
      </c>
      <c r="D146" s="3">
        <v>1.9242702929728021E-2</v>
      </c>
      <c r="E146" s="3">
        <v>1.05575848667017E-2</v>
      </c>
      <c r="F146" s="3">
        <v>-8.370844104677139E-3</v>
      </c>
      <c r="G146" s="3">
        <v>-1.1360743305409217E-2</v>
      </c>
      <c r="H146" s="3">
        <f>(Sheet1!$Y$19*' Rolling-window portfolio analy'!B146+Sheet1!$Z$19*' Rolling-window portfolio analy'!C146+Sheet1!$AA$19*' Rolling-window portfolio analy'!D146+Sheet1!$AB$19*' Rolling-window portfolio analy'!E146+Sheet1!$AC$19*' Rolling-window portfolio analy'!F146)</f>
        <v>-1.6245369440979159E-2</v>
      </c>
      <c r="I146" s="6">
        <f t="shared" si="2"/>
        <v>1.3715359670116205</v>
      </c>
      <c r="J146" s="86">
        <f t="shared" si="3"/>
        <v>1.0746519795345778E-3</v>
      </c>
    </row>
    <row r="147" spans="1:10" x14ac:dyDescent="0.3">
      <c r="A147" s="2">
        <v>45820</v>
      </c>
      <c r="B147" s="3">
        <v>2.1106596106382439E-3</v>
      </c>
      <c r="C147" s="3">
        <v>1.5078630546037294E-2</v>
      </c>
      <c r="D147" s="3">
        <v>-2.2679659699347213E-2</v>
      </c>
      <c r="E147" s="3">
        <v>-1.0301404514333585E-2</v>
      </c>
      <c r="F147" s="3">
        <v>2.1634995303432187E-3</v>
      </c>
      <c r="G147" s="3">
        <v>3.815210759964134E-3</v>
      </c>
      <c r="H147" s="3">
        <f>(Sheet1!$Y$19*' Rolling-window portfolio analy'!B147+Sheet1!$Z$19*' Rolling-window portfolio analy'!C147+Sheet1!$AA$19*' Rolling-window portfolio analy'!D147+Sheet1!$AB$19*' Rolling-window portfolio analy'!E147+Sheet1!$AC$19*' Rolling-window portfolio analy'!F147)</f>
        <v>9.3776717417174867E-3</v>
      </c>
      <c r="I147" s="6">
        <f t="shared" si="2"/>
        <v>1.3747344868201192</v>
      </c>
      <c r="J147" s="86">
        <f t="shared" si="3"/>
        <v>1.1124188013870928E-3</v>
      </c>
    </row>
    <row r="148" spans="1:10" x14ac:dyDescent="0.3">
      <c r="A148" s="2">
        <v>45819</v>
      </c>
      <c r="B148" s="3">
        <v>-1.9380354991362321E-2</v>
      </c>
      <c r="C148" s="3">
        <v>-7.880371336292883E-3</v>
      </c>
      <c r="D148" s="3">
        <v>1.0421137460002769E-3</v>
      </c>
      <c r="E148" s="3">
        <v>-1.2802459820583688E-3</v>
      </c>
      <c r="F148" s="3">
        <v>-8.9327561483330646E-3</v>
      </c>
      <c r="G148" s="3">
        <v>-2.7476895336661002E-3</v>
      </c>
      <c r="H148" s="3">
        <f>(Sheet1!$Y$19*' Rolling-window portfolio analy'!B148+Sheet1!$Z$19*' Rolling-window portfolio analy'!C148+Sheet1!$AA$19*' Rolling-window portfolio analy'!D148+Sheet1!$AB$19*' Rolling-window portfolio analy'!E148+Sheet1!$AC$19*' Rolling-window portfolio analy'!F148)</f>
        <v>-1.0097941361318427E-2</v>
      </c>
      <c r="I148" s="6">
        <f t="shared" si="2"/>
        <v>1.3880360251638673</v>
      </c>
      <c r="J148" s="86">
        <f t="shared" si="3"/>
        <v>9.8750250810895218E-4</v>
      </c>
    </row>
    <row r="149" spans="1:10" x14ac:dyDescent="0.3">
      <c r="A149" s="2">
        <v>45818</v>
      </c>
      <c r="B149" s="3">
        <v>6.0378288938655912E-3</v>
      </c>
      <c r="C149" s="3">
        <v>9.2816186754991897E-3</v>
      </c>
      <c r="D149" s="3">
        <v>5.5192287870150229E-2</v>
      </c>
      <c r="E149" s="3">
        <v>1.9377947782118318E-2</v>
      </c>
      <c r="F149" s="3">
        <v>1.9508282395419595E-2</v>
      </c>
      <c r="G149" s="3">
        <v>5.4679833266549453E-3</v>
      </c>
      <c r="H149" s="3">
        <f>(Sheet1!$Y$19*' Rolling-window portfolio analy'!B149+Sheet1!$Z$19*' Rolling-window portfolio analy'!C149+Sheet1!$AA$19*' Rolling-window portfolio analy'!D149+Sheet1!$AB$19*' Rolling-window portfolio analy'!E149+Sheet1!$AC$19*' Rolling-window portfolio analy'!F149)</f>
        <v>9.5159562250956339E-3</v>
      </c>
      <c r="I149" s="6">
        <f t="shared" si="2"/>
        <v>1.3575201263672234</v>
      </c>
      <c r="J149" s="86">
        <f t="shared" si="3"/>
        <v>1.3066654149526847E-3</v>
      </c>
    </row>
    <row r="150" spans="1:10" x14ac:dyDescent="0.3">
      <c r="A150" s="2">
        <v>45817</v>
      </c>
      <c r="B150" s="3">
        <v>-1.2186548430503737E-2</v>
      </c>
      <c r="C150" s="3">
        <v>6.4005845380595509E-3</v>
      </c>
      <c r="D150" s="3">
        <v>4.4531308979576474E-2</v>
      </c>
      <c r="E150" s="3">
        <v>1.1281767304082962E-2</v>
      </c>
      <c r="F150" s="3">
        <v>-7.7869884215382218E-3</v>
      </c>
      <c r="G150" s="3">
        <v>9.1952191342837999E-4</v>
      </c>
      <c r="H150" s="3">
        <f>(Sheet1!$Y$19*' Rolling-window portfolio analy'!B150+Sheet1!$Z$19*' Rolling-window portfolio analy'!C150+Sheet1!$AA$19*' Rolling-window portfolio analy'!D150+Sheet1!$AB$19*' Rolling-window portfolio analy'!E150+Sheet1!$AC$19*' Rolling-window portfolio analy'!F150)</f>
        <v>2.310477219595675E-3</v>
      </c>
      <c r="I150" s="6">
        <f t="shared" si="2"/>
        <v>1.3720273032845725</v>
      </c>
      <c r="J150" s="86">
        <f t="shared" si="3"/>
        <v>1.3622276442941505E-3</v>
      </c>
    </row>
    <row r="151" spans="1:10" x14ac:dyDescent="0.3">
      <c r="A151" s="2">
        <v>45814</v>
      </c>
      <c r="B151" s="3">
        <v>1.6265344375750522E-2</v>
      </c>
      <c r="C151" s="3">
        <v>1.228228851053734E-2</v>
      </c>
      <c r="D151" s="3">
        <v>3.6013825751311526E-2</v>
      </c>
      <c r="E151" s="3">
        <v>1.9987340924612497E-2</v>
      </c>
      <c r="F151" s="3">
        <v>1.5319980729083431E-2</v>
      </c>
      <c r="G151" s="3">
        <v>1.0228186115699976E-2</v>
      </c>
      <c r="H151" s="3">
        <f>(Sheet1!$Y$19*' Rolling-window portfolio analy'!B151+Sheet1!$Z$19*' Rolling-window portfolio analy'!C151+Sheet1!$AA$19*' Rolling-window portfolio analy'!D151+Sheet1!$AB$19*' Rolling-window portfolio analy'!E151+Sheet1!$AC$19*' Rolling-window portfolio analy'!F151)</f>
        <v>1.4046752888326075E-2</v>
      </c>
      <c r="I151" s="6">
        <f t="shared" si="2"/>
        <v>1.3674383062490532</v>
      </c>
      <c r="J151" s="86">
        <f t="shared" si="3"/>
        <v>1.3513978292194122E-3</v>
      </c>
    </row>
    <row r="152" spans="1:10" x14ac:dyDescent="0.3">
      <c r="A152" s="2">
        <v>45813</v>
      </c>
      <c r="B152" s="3">
        <v>-1.085647049174078E-2</v>
      </c>
      <c r="C152" s="3">
        <v>-1.3692527074535403E-2</v>
      </c>
      <c r="D152" s="3">
        <v>-0.15384956570273089</v>
      </c>
      <c r="E152" s="3">
        <v>-3.7614230269613076E-3</v>
      </c>
      <c r="F152" s="3">
        <v>-5.9682916284276716E-3</v>
      </c>
      <c r="G152" s="3">
        <v>-5.2913152805629804E-3</v>
      </c>
      <c r="H152" s="3">
        <f>(Sheet1!$Y$19*' Rolling-window portfolio analy'!B152+Sheet1!$Z$19*' Rolling-window portfolio analy'!C152+Sheet1!$AA$19*' Rolling-window portfolio analy'!D152+Sheet1!$AB$19*' Rolling-window portfolio analy'!E152+Sheet1!$AC$19*' Rolling-window portfolio analy'!F152)</f>
        <v>-1.2299373330783516E-2</v>
      </c>
      <c r="I152" s="6">
        <f t="shared" si="2"/>
        <v>1.3587468777027987</v>
      </c>
      <c r="J152" s="86">
        <f t="shared" si="3"/>
        <v>1.3790301869354548E-3</v>
      </c>
    </row>
    <row r="153" spans="1:10" x14ac:dyDescent="0.3">
      <c r="A153" s="2">
        <v>45812</v>
      </c>
      <c r="B153" s="3">
        <v>-2.2162583870203399E-3</v>
      </c>
      <c r="C153" s="3">
        <v>4.9445604730683941E-3</v>
      </c>
      <c r="D153" s="3">
        <v>-3.6140673247457185E-2</v>
      </c>
      <c r="E153" s="3">
        <v>-6.6818369676333008E-3</v>
      </c>
      <c r="F153" s="3">
        <v>2.1947022447880945E-3</v>
      </c>
      <c r="G153" s="3">
        <v>7.3694559532491577E-5</v>
      </c>
      <c r="H153" s="3">
        <f>(Sheet1!$Y$19*' Rolling-window portfolio analy'!B153+Sheet1!$Z$19*' Rolling-window portfolio analy'!C153+Sheet1!$AA$19*' Rolling-window portfolio analy'!D153+Sheet1!$AB$19*' Rolling-window portfolio analy'!E153+Sheet1!$AC$19*' Rolling-window portfolio analy'!F153)</f>
        <v>1.9863860883750075E-3</v>
      </c>
      <c r="I153" s="6">
        <f t="shared" si="2"/>
        <v>1.3017225296180195</v>
      </c>
      <c r="J153" s="86">
        <f t="shared" si="3"/>
        <v>1.7200586335313238E-3</v>
      </c>
    </row>
    <row r="154" spans="1:10" x14ac:dyDescent="0.3">
      <c r="A154" s="2">
        <v>45811</v>
      </c>
      <c r="B154" s="3">
        <v>7.7536996107045722E-3</v>
      </c>
      <c r="C154" s="3">
        <v>2.7568149302465299E-2</v>
      </c>
      <c r="D154" s="3">
        <v>4.5999848202144733E-3</v>
      </c>
      <c r="E154" s="3">
        <v>5.8776551792195887E-3</v>
      </c>
      <c r="F154" s="3">
        <v>1.9651979510417302E-2</v>
      </c>
      <c r="G154" s="3">
        <v>5.7835040361739996E-3</v>
      </c>
      <c r="H154" s="3">
        <f>(Sheet1!$Y$19*' Rolling-window portfolio analy'!B154+Sheet1!$Z$19*' Rolling-window portfolio analy'!C154+Sheet1!$AA$19*' Rolling-window portfolio analy'!D154+Sheet1!$AB$19*' Rolling-window portfolio analy'!E154+Sheet1!$AC$19*' Rolling-window portfolio analy'!F154)</f>
        <v>2.0541407244041462E-2</v>
      </c>
      <c r="I154" s="6">
        <f t="shared" si="2"/>
        <v>1.3297942093927146</v>
      </c>
      <c r="J154" s="86">
        <f t="shared" si="3"/>
        <v>1.9909006366672114E-3</v>
      </c>
    </row>
    <row r="155" spans="1:10" x14ac:dyDescent="0.3">
      <c r="A155" s="2">
        <v>45810</v>
      </c>
      <c r="B155" s="3">
        <v>4.2230841548747573E-3</v>
      </c>
      <c r="C155" s="3">
        <v>1.6513530735740779E-2</v>
      </c>
      <c r="D155" s="3">
        <v>-1.0941123436829408E-2</v>
      </c>
      <c r="E155" s="3">
        <v>7.2610242370472729E-3</v>
      </c>
      <c r="F155" s="3">
        <v>-1.1141289842508636E-2</v>
      </c>
      <c r="G155" s="3">
        <v>4.0936514501346477E-3</v>
      </c>
      <c r="H155" s="3">
        <f>(Sheet1!$Y$19*' Rolling-window portfolio analy'!B155+Sheet1!$Z$19*' Rolling-window portfolio analy'!C155+Sheet1!$AA$19*' Rolling-window portfolio analy'!D155+Sheet1!$AB$19*' Rolling-window portfolio analy'!E155+Sheet1!$AC$19*' Rolling-window portfolio analy'!F155)</f>
        <v>1.2529617446572437E-2</v>
      </c>
      <c r="I155" s="6">
        <f t="shared" si="2"/>
        <v>1.3374846917357057</v>
      </c>
      <c r="J155" s="86">
        <f t="shared" si="3"/>
        <v>2.1290939868260006E-3</v>
      </c>
    </row>
    <row r="156" spans="1:10" x14ac:dyDescent="0.3">
      <c r="A156" s="2">
        <v>45807</v>
      </c>
      <c r="B156" s="3">
        <v>4.4910255124638023E-3</v>
      </c>
      <c r="C156" s="3">
        <v>-2.9602628189314469E-2</v>
      </c>
      <c r="D156" s="3">
        <v>-3.3966011104025542E-2</v>
      </c>
      <c r="E156" s="3">
        <v>-8.3322616185459841E-3</v>
      </c>
      <c r="F156" s="3">
        <v>5.3959819865186179E-3</v>
      </c>
      <c r="G156" s="3">
        <v>-8.119175975762441E-5</v>
      </c>
      <c r="H156" s="3">
        <f>(Sheet1!$Y$19*' Rolling-window portfolio analy'!B156+Sheet1!$Z$19*' Rolling-window portfolio analy'!C156+Sheet1!$AA$19*' Rolling-window portfolio analy'!D156+Sheet1!$AB$19*' Rolling-window portfolio analy'!E156+Sheet1!$AC$19*' Rolling-window portfolio analy'!F156)</f>
        <v>-1.9114320603227566E-2</v>
      </c>
      <c r="I156" s="6">
        <f t="shared" si="2"/>
        <v>1.349699904099668</v>
      </c>
      <c r="J156" s="86">
        <f t="shared" si="3"/>
        <v>1.7303820282638779E-3</v>
      </c>
    </row>
    <row r="157" spans="1:10" x14ac:dyDescent="0.3">
      <c r="A157" s="2">
        <v>45806</v>
      </c>
      <c r="B157" s="3">
        <v>-2.3478293373554809E-3</v>
      </c>
      <c r="C157" s="3">
        <v>3.1973526536336512E-2</v>
      </c>
      <c r="D157" s="3">
        <v>4.2777524587056621E-3</v>
      </c>
      <c r="E157" s="3">
        <v>1.8368965972377756E-2</v>
      </c>
      <c r="F157" s="3">
        <v>2.5493958996004274E-3</v>
      </c>
      <c r="G157" s="3">
        <v>4.0031509167171844E-3</v>
      </c>
      <c r="H157" s="3">
        <f>(Sheet1!$Y$19*' Rolling-window portfolio analy'!B157+Sheet1!$Z$19*' Rolling-window portfolio analy'!C157+Sheet1!$AA$19*' Rolling-window portfolio analy'!D157+Sheet1!$AB$19*' Rolling-window portfolio analy'!E157+Sheet1!$AC$19*' Rolling-window portfolio analy'!F157)</f>
        <v>2.209763336537942E-2</v>
      </c>
      <c r="I157" s="6">
        <f t="shared" si="2"/>
        <v>1.3924479737720212</v>
      </c>
      <c r="J157" s="86">
        <f t="shared" si="3"/>
        <v>1.7636051595774052E-3</v>
      </c>
    </row>
    <row r="158" spans="1:10" x14ac:dyDescent="0.3">
      <c r="A158" s="2">
        <v>45805</v>
      </c>
      <c r="B158" s="3">
        <v>1.0483489465745394E-3</v>
      </c>
      <c r="C158" s="3">
        <v>-5.1052606167828691E-3</v>
      </c>
      <c r="D158" s="3">
        <v>-1.6644127542745964E-2</v>
      </c>
      <c r="E158" s="3">
        <v>-1.4883240496361342E-2</v>
      </c>
      <c r="F158" s="3">
        <v>-2.8676138816014734E-3</v>
      </c>
      <c r="G158" s="3">
        <v>-5.586762811582561E-3</v>
      </c>
      <c r="H158" s="3">
        <f>(Sheet1!$Y$19*' Rolling-window portfolio analy'!B158+Sheet1!$Z$19*' Rolling-window portfolio analy'!C158+Sheet1!$AA$19*' Rolling-window portfolio analy'!D158+Sheet1!$AB$19*' Rolling-window portfolio analy'!E158+Sheet1!$AC$19*' Rolling-window portfolio analy'!F158)</f>
        <v>-4.5234393395462858E-3</v>
      </c>
      <c r="I158" s="6">
        <f t="shared" si="2"/>
        <v>1.4249644930581125</v>
      </c>
      <c r="J158" s="86">
        <f t="shared" si="3"/>
        <v>1.846406570703995E-3</v>
      </c>
    </row>
    <row r="159" spans="1:10" x14ac:dyDescent="0.3">
      <c r="A159" s="2">
        <v>45804</v>
      </c>
      <c r="B159" s="3">
        <v>2.4983599431202347E-2</v>
      </c>
      <c r="C159" s="3">
        <v>3.1563023373736614E-2</v>
      </c>
      <c r="D159" s="3">
        <v>6.7097203424067164E-2</v>
      </c>
      <c r="E159" s="3">
        <v>1.32488080976458E-2</v>
      </c>
      <c r="F159" s="3">
        <v>1.9599020917506618E-2</v>
      </c>
      <c r="G159" s="3">
        <v>2.025254391312099E-2</v>
      </c>
      <c r="H159" s="3">
        <f>(Sheet1!$Y$19*' Rolling-window portfolio analy'!B159+Sheet1!$Z$19*' Rolling-window portfolio analy'!C159+Sheet1!$AA$19*' Rolling-window portfolio analy'!D159+Sheet1!$AB$19*' Rolling-window portfolio analy'!E159+Sheet1!$AC$19*' Rolling-window portfolio analy'!F159)</f>
        <v>2.8253980919844081E-2</v>
      </c>
      <c r="I159" s="6">
        <f t="shared" si="2"/>
        <v>1.4118802047731003</v>
      </c>
      <c r="J159" s="86">
        <f t="shared" si="3"/>
        <v>1.7847224469559925E-3</v>
      </c>
    </row>
    <row r="160" spans="1:10" x14ac:dyDescent="0.3">
      <c r="A160" s="2">
        <v>45800</v>
      </c>
      <c r="B160" s="3">
        <v>-3.0711134574654807E-2</v>
      </c>
      <c r="C160" s="3">
        <v>-1.1661498198393161E-2</v>
      </c>
      <c r="D160" s="3">
        <v>-4.9972178421616061E-3</v>
      </c>
      <c r="E160" s="3">
        <v>4.0911007558641892E-3</v>
      </c>
      <c r="F160" s="3">
        <v>5.8574850195790883E-3</v>
      </c>
      <c r="G160" s="3">
        <v>-6.7309094179872579E-3</v>
      </c>
      <c r="H160" s="3">
        <f>(Sheet1!$Y$19*' Rolling-window portfolio analy'!B160+Sheet1!$Z$19*' Rolling-window portfolio analy'!C160+Sheet1!$AA$19*' Rolling-window portfolio analy'!D160+Sheet1!$AB$19*' Rolling-window portfolio analy'!E160+Sheet1!$AC$19*' Rolling-window portfolio analy'!F160)</f>
        <v>-1.489242007464479E-2</v>
      </c>
      <c r="I160" s="6">
        <f t="shared" si="2"/>
        <v>1.4292302075925336</v>
      </c>
      <c r="J160" s="86">
        <f t="shared" si="3"/>
        <v>1.7152202891788189E-3</v>
      </c>
    </row>
    <row r="161" spans="1:10" x14ac:dyDescent="0.3">
      <c r="A161" s="2">
        <v>45799</v>
      </c>
      <c r="B161" s="3">
        <v>-3.6187919030965495E-3</v>
      </c>
      <c r="C161" s="3">
        <v>7.7844930760050191E-3</v>
      </c>
      <c r="D161" s="3">
        <v>1.9004212827437507E-2</v>
      </c>
      <c r="E161" s="3">
        <v>-1.6384493015449227E-3</v>
      </c>
      <c r="F161" s="3">
        <v>4.9075838722271057E-3</v>
      </c>
      <c r="G161" s="3">
        <v>-4.4495329580252299E-4</v>
      </c>
      <c r="H161" s="3">
        <f>(Sheet1!$Y$19*' Rolling-window portfolio analy'!B161+Sheet1!$Z$19*' Rolling-window portfolio analy'!C161+Sheet1!$AA$19*' Rolling-window portfolio analy'!D161+Sheet1!$AB$19*' Rolling-window portfolio analy'!E161+Sheet1!$AC$19*' Rolling-window portfolio analy'!F161)</f>
        <v>4.075175866310979E-3</v>
      </c>
      <c r="I161" s="6">
        <f t="shared" si="2"/>
        <v>1.3724504315306034</v>
      </c>
      <c r="J161" s="86">
        <f t="shared" si="3"/>
        <v>2.1300368259043944E-3</v>
      </c>
    </row>
    <row r="162" spans="1:10" x14ac:dyDescent="0.3">
      <c r="A162" s="2">
        <v>45798</v>
      </c>
      <c r="B162" s="3">
        <v>-2.3329093219500632E-2</v>
      </c>
      <c r="C162" s="3">
        <v>-1.9385985423596916E-2</v>
      </c>
      <c r="D162" s="3">
        <v>-2.7122704983830095E-2</v>
      </c>
      <c r="E162" s="3">
        <v>-1.8651709780916143E-2</v>
      </c>
      <c r="F162" s="3">
        <v>-2.3980410294823829E-2</v>
      </c>
      <c r="G162" s="3">
        <v>-1.6266702451148567E-2</v>
      </c>
      <c r="H162" s="3">
        <f>(Sheet1!$Y$19*' Rolling-window portfolio analy'!B162+Sheet1!$Z$19*' Rolling-window portfolio analy'!C162+Sheet1!$AA$19*' Rolling-window portfolio analy'!D162+Sheet1!$AB$19*' Rolling-window portfolio analy'!E162+Sheet1!$AC$19*' Rolling-window portfolio analy'!F162)</f>
        <v>-2.0310945030795693E-2</v>
      </c>
      <c r="I162" s="6">
        <f t="shared" si="2"/>
        <v>1.3745642043468869</v>
      </c>
      <c r="J162" s="86">
        <f t="shared" si="3"/>
        <v>2.0743708722743091E-3</v>
      </c>
    </row>
    <row r="163" spans="1:10" x14ac:dyDescent="0.3">
      <c r="A163" s="2">
        <v>45797</v>
      </c>
      <c r="B163" s="3">
        <v>-9.2388300304947473E-3</v>
      </c>
      <c r="C163" s="3">
        <v>-8.8165045992940425E-3</v>
      </c>
      <c r="D163" s="3">
        <v>5.0444042759707226E-3</v>
      </c>
      <c r="E163" s="3">
        <v>-1.5149791414666708E-2</v>
      </c>
      <c r="F163" s="3">
        <v>6.4061501229920785E-4</v>
      </c>
      <c r="G163" s="3">
        <v>-3.8877541185178555E-3</v>
      </c>
      <c r="H163" s="3">
        <f>(Sheet1!$Y$19*' Rolling-window portfolio analy'!B163+Sheet1!$Z$19*' Rolling-window portfolio analy'!C163+Sheet1!$AA$19*' Rolling-window portfolio analy'!D163+Sheet1!$AB$19*' Rolling-window portfolio analy'!E163+Sheet1!$AC$19*' Rolling-window portfolio analy'!F163)</f>
        <v>-9.4971709782176051E-3</v>
      </c>
      <c r="I163" s="6">
        <f t="shared" si="2"/>
        <v>1.377136473760332</v>
      </c>
      <c r="J163" s="86">
        <f t="shared" si="3"/>
        <v>2.0683636779097831E-3</v>
      </c>
    </row>
    <row r="164" spans="1:10" x14ac:dyDescent="0.3">
      <c r="A164" s="2">
        <v>45796</v>
      </c>
      <c r="B164" s="3">
        <v>-1.1808536414863721E-2</v>
      </c>
      <c r="C164" s="3">
        <v>1.2547516131233539E-3</v>
      </c>
      <c r="D164" s="3">
        <v>-2.2802149656224655E-2</v>
      </c>
      <c r="E164" s="3">
        <v>3.1704121668459035E-3</v>
      </c>
      <c r="F164" s="3">
        <v>-3.5183148399142829E-3</v>
      </c>
      <c r="G164" s="3">
        <v>8.7569352298437302E-4</v>
      </c>
      <c r="H164" s="3">
        <f>(Sheet1!$Y$19*' Rolling-window portfolio analy'!B164+Sheet1!$Z$19*' Rolling-window portfolio analy'!C164+Sheet1!$AA$19*' Rolling-window portfolio analy'!D164+Sheet1!$AB$19*' Rolling-window portfolio analy'!E164+Sheet1!$AC$19*' Rolling-window portfolio analy'!F164)</f>
        <v>-1.8557703000950121E-3</v>
      </c>
      <c r="I164" s="6">
        <f t="shared" si="2"/>
        <v>1.3778280570605341</v>
      </c>
      <c r="J164" s="86">
        <f t="shared" si="3"/>
        <v>1.9930840357019024E-3</v>
      </c>
    </row>
    <row r="165" spans="1:10" x14ac:dyDescent="0.3">
      <c r="A165" s="2">
        <v>45793</v>
      </c>
      <c r="B165" s="3">
        <v>-8.9896152348143657E-4</v>
      </c>
      <c r="C165" s="3">
        <v>4.2186348321912601E-3</v>
      </c>
      <c r="D165" s="3">
        <v>2.0670481914690356E-2</v>
      </c>
      <c r="E165" s="3">
        <v>1.5889833851786624E-3</v>
      </c>
      <c r="F165" s="3">
        <v>6.3877357649476125E-4</v>
      </c>
      <c r="G165" s="3">
        <v>6.9808987439629782E-3</v>
      </c>
      <c r="H165" s="3">
        <f>(Sheet1!$Y$19*' Rolling-window portfolio analy'!B165+Sheet1!$Z$19*' Rolling-window portfolio analy'!C165+Sheet1!$AA$19*' Rolling-window portfolio analy'!D165+Sheet1!$AB$19*' Rolling-window portfolio analy'!E165+Sheet1!$AC$19*' Rolling-window portfolio analy'!F165)</f>
        <v>2.7263649659959414E-3</v>
      </c>
      <c r="I165" s="6">
        <f t="shared" si="2"/>
        <v>1.3644617805899728</v>
      </c>
      <c r="J165" s="86">
        <f t="shared" si="3"/>
        <v>1.9847691705272182E-3</v>
      </c>
    </row>
    <row r="166" spans="1:10" x14ac:dyDescent="0.3">
      <c r="A166" s="2">
        <v>45792</v>
      </c>
      <c r="B166" s="3">
        <v>-4.1531042752048983E-3</v>
      </c>
      <c r="C166" s="3">
        <v>-3.7754051580962109E-3</v>
      </c>
      <c r="D166" s="3">
        <v>-1.4076988429208612E-2</v>
      </c>
      <c r="E166" s="3">
        <v>-2.9112102074586644E-3</v>
      </c>
      <c r="F166" s="3">
        <v>8.663619085818728E-3</v>
      </c>
      <c r="G166" s="3">
        <v>4.1238009887726761E-3</v>
      </c>
      <c r="H166" s="3">
        <f>(Sheet1!$Y$19*' Rolling-window portfolio analy'!B166+Sheet1!$Z$19*' Rolling-window portfolio analy'!C166+Sheet1!$AA$19*' Rolling-window portfolio analy'!D166+Sheet1!$AB$19*' Rolling-window portfolio analy'!E166+Sheet1!$AC$19*' Rolling-window portfolio analy'!F166)</f>
        <v>-3.80603759534957E-3</v>
      </c>
      <c r="I166" s="6">
        <f t="shared" si="2"/>
        <v>1.3948245636744432</v>
      </c>
      <c r="J166" s="86">
        <f t="shared" si="3"/>
        <v>1.9456274087660999E-3</v>
      </c>
    </row>
    <row r="167" spans="1:10" x14ac:dyDescent="0.3">
      <c r="A167" s="2">
        <v>45791</v>
      </c>
      <c r="B167" s="3">
        <v>-2.8218050046047607E-3</v>
      </c>
      <c r="C167" s="3">
        <v>4.079428690943445E-2</v>
      </c>
      <c r="D167" s="3">
        <v>3.9931964652091589E-2</v>
      </c>
      <c r="E167" s="3">
        <v>-8.9450741139239058E-3</v>
      </c>
      <c r="F167" s="3">
        <v>1.5917178669802592E-2</v>
      </c>
      <c r="G167" s="3">
        <v>1.0238448046247569E-3</v>
      </c>
      <c r="H167" s="3">
        <f>(Sheet1!$Y$19*' Rolling-window portfolio analy'!B167+Sheet1!$Z$19*' Rolling-window portfolio analy'!C167+Sheet1!$AA$19*' Rolling-window portfolio analy'!D167+Sheet1!$AB$19*' Rolling-window portfolio analy'!E167+Sheet1!$AC$19*' Rolling-window portfolio analy'!F167)</f>
        <v>2.5227846331056073E-2</v>
      </c>
      <c r="I167" s="6">
        <f t="shared" si="2"/>
        <v>1.3854567609380894</v>
      </c>
      <c r="J167" s="86">
        <f t="shared" si="3"/>
        <v>2.3938380180414214E-3</v>
      </c>
    </row>
    <row r="168" spans="1:10" x14ac:dyDescent="0.3">
      <c r="A168" s="2">
        <v>45790</v>
      </c>
      <c r="B168" s="3">
        <v>1.0101095986503919E-2</v>
      </c>
      <c r="C168" s="3">
        <v>5.4811488522227544E-2</v>
      </c>
      <c r="D168" s="3">
        <v>4.8104913929037998E-2</v>
      </c>
      <c r="E168" s="3">
        <v>1.4775994424717206E-2</v>
      </c>
      <c r="F168" s="3">
        <v>7.5596087207746906E-3</v>
      </c>
      <c r="G168" s="3">
        <v>7.2220821737149429E-3</v>
      </c>
      <c r="H168" s="3">
        <f>(Sheet1!$Y$19*' Rolling-window portfolio analy'!B168+Sheet1!$Z$19*' Rolling-window portfolio analy'!C168+Sheet1!$AA$19*' Rolling-window portfolio analy'!D168+Sheet1!$AB$19*' Rolling-window portfolio analy'!E168+Sheet1!$AC$19*' Rolling-window portfolio analy'!F168)</f>
        <v>3.9882831047982466E-2</v>
      </c>
      <c r="I168" s="6">
        <f t="shared" si="2"/>
        <v>1.4358523374332255</v>
      </c>
      <c r="J168" s="86">
        <f t="shared" si="3"/>
        <v>2.7095391522108372E-3</v>
      </c>
    </row>
    <row r="169" spans="1:10" x14ac:dyDescent="0.3">
      <c r="A169" s="2">
        <v>45789</v>
      </c>
      <c r="B169" s="3">
        <v>5.9922155002815725E-2</v>
      </c>
      <c r="C169" s="3">
        <v>5.3006356904978548E-2</v>
      </c>
      <c r="D169" s="3">
        <v>6.5280048592353646E-2</v>
      </c>
      <c r="E169" s="3">
        <v>3.0497573424527965E-2</v>
      </c>
      <c r="F169" s="3">
        <v>5.3187810418832852E-2</v>
      </c>
      <c r="G169" s="3">
        <v>3.204001430944952E-2</v>
      </c>
      <c r="H169" s="3">
        <f>(Sheet1!$Y$19*' Rolling-window portfolio analy'!B169+Sheet1!$Z$19*' Rolling-window portfolio analy'!C169+Sheet1!$AA$19*' Rolling-window portfolio analy'!D169+Sheet1!$AB$19*' Rolling-window portfolio analy'!E169+Sheet1!$AC$19*' Rolling-window portfolio analy'!F169)</f>
        <v>5.2613254049851142E-2</v>
      </c>
      <c r="I169" s="6">
        <f t="shared" si="2"/>
        <v>1.4779655445617637</v>
      </c>
      <c r="J169" s="86">
        <f t="shared" si="3"/>
        <v>2.5333426947150256E-3</v>
      </c>
    </row>
    <row r="170" spans="1:10" x14ac:dyDescent="0.3">
      <c r="A170" s="2">
        <v>45786</v>
      </c>
      <c r="B170" s="3">
        <v>5.2522720610924155E-3</v>
      </c>
      <c r="C170" s="3">
        <v>-6.153339644593539E-3</v>
      </c>
      <c r="D170" s="3">
        <v>4.6108187543354544E-2</v>
      </c>
      <c r="E170" s="3">
        <v>6.5988691476724518E-3</v>
      </c>
      <c r="F170" s="3">
        <v>-7.6256868666368547E-3</v>
      </c>
      <c r="G170" s="3">
        <v>-7.117720863733933E-4</v>
      </c>
      <c r="H170" s="3">
        <f>(Sheet1!$Y$19*' Rolling-window portfolio analy'!B170+Sheet1!$Z$19*' Rolling-window portfolio analy'!C170+Sheet1!$AA$19*' Rolling-window portfolio analy'!D170+Sheet1!$AB$19*' Rolling-window portfolio analy'!E170+Sheet1!$AC$19*' Rolling-window portfolio analy'!F170)</f>
        <v>-2.0124939794995246E-3</v>
      </c>
      <c r="I170" s="6">
        <f t="shared" si="2"/>
        <v>1.476252791986109</v>
      </c>
      <c r="J170" s="86">
        <f t="shared" si="3"/>
        <v>2.4353061844007325E-3</v>
      </c>
    </row>
    <row r="171" spans="1:10" x14ac:dyDescent="0.3">
      <c r="A171" s="2">
        <v>45785</v>
      </c>
      <c r="B171" s="3">
        <v>6.298593485377273E-3</v>
      </c>
      <c r="C171" s="3">
        <v>2.6447142489577835E-3</v>
      </c>
      <c r="D171" s="3">
        <v>3.0659752141498933E-2</v>
      </c>
      <c r="E171" s="3">
        <v>-1.6538041255606587E-3</v>
      </c>
      <c r="F171" s="3">
        <v>2.0583318696755535E-2</v>
      </c>
      <c r="G171" s="3">
        <v>5.7829933406661335E-3</v>
      </c>
      <c r="H171" s="3">
        <f>(Sheet1!$Y$19*' Rolling-window portfolio analy'!B171+Sheet1!$Z$19*' Rolling-window portfolio analy'!C171+Sheet1!$AA$19*' Rolling-window portfolio analy'!D171+Sheet1!$AB$19*' Rolling-window portfolio analy'!E171+Sheet1!$AC$19*' Rolling-window portfolio analy'!F171)</f>
        <v>3.1964191179553432E-3</v>
      </c>
      <c r="I171" s="6">
        <f t="shared" si="2"/>
        <v>1.46388278255528</v>
      </c>
      <c r="J171" s="86">
        <f t="shared" si="3"/>
        <v>2.3608896813357514E-3</v>
      </c>
    </row>
    <row r="172" spans="1:10" x14ac:dyDescent="0.3">
      <c r="A172" s="2">
        <v>45784</v>
      </c>
      <c r="B172" s="3">
        <v>-1.1450120029559962E-2</v>
      </c>
      <c r="C172" s="3">
        <v>3.0531426120494677E-2</v>
      </c>
      <c r="D172" s="3">
        <v>3.1546339412920166E-3</v>
      </c>
      <c r="E172" s="3">
        <v>-2.475589216450439E-3</v>
      </c>
      <c r="F172" s="3">
        <v>9.9186077046076737E-3</v>
      </c>
      <c r="G172" s="3">
        <v>4.3370041259597454E-3</v>
      </c>
      <c r="H172" s="3">
        <f>(Sheet1!$Y$19*' Rolling-window portfolio analy'!B172+Sheet1!$Z$19*' Rolling-window portfolio analy'!C172+Sheet1!$AA$19*' Rolling-window portfolio analy'!D172+Sheet1!$AB$19*' Rolling-window portfolio analy'!E172+Sheet1!$AC$19*' Rolling-window portfolio analy'!F172)</f>
        <v>1.6910623883113898E-2</v>
      </c>
      <c r="I172" s="6">
        <f t="shared" si="2"/>
        <v>1.4652635632911031</v>
      </c>
      <c r="J172" s="86">
        <f t="shared" si="3"/>
        <v>2.4749860924183102E-3</v>
      </c>
    </row>
    <row r="173" spans="1:10" x14ac:dyDescent="0.3">
      <c r="A173" s="2">
        <v>45783</v>
      </c>
      <c r="B173" s="3">
        <v>-1.9124313830772783E-3</v>
      </c>
      <c r="C173" s="3">
        <v>-2.4630554323975258E-3</v>
      </c>
      <c r="D173" s="3">
        <v>-1.7674728033581034E-2</v>
      </c>
      <c r="E173" s="3">
        <v>-9.5694510161507852E-3</v>
      </c>
      <c r="F173" s="3">
        <v>-1.3437260173793835E-2</v>
      </c>
      <c r="G173" s="3">
        <v>-7.7230338855465552E-3</v>
      </c>
      <c r="H173" s="3">
        <f>(Sheet1!$Y$19*' Rolling-window portfolio analy'!B173+Sheet1!$Z$19*' Rolling-window portfolio analy'!C173+Sheet1!$AA$19*' Rolling-window portfolio analy'!D173+Sheet1!$AB$19*' Rolling-window portfolio analy'!E173+Sheet1!$AC$19*' Rolling-window portfolio analy'!F173)</f>
        <v>-3.0278316814097914E-3</v>
      </c>
      <c r="I173" s="6">
        <f t="shared" si="2"/>
        <v>1.423794774211053</v>
      </c>
      <c r="J173" s="86">
        <f t="shared" si="3"/>
        <v>2.7103832274478681E-3</v>
      </c>
    </row>
    <row r="174" spans="1:10" x14ac:dyDescent="0.3">
      <c r="A174" s="2">
        <v>45782</v>
      </c>
      <c r="B174" s="3">
        <v>-3.19639323274125E-2</v>
      </c>
      <c r="C174" s="3">
        <v>-5.9565698193165236E-3</v>
      </c>
      <c r="D174" s="3">
        <v>-2.4495911767336329E-2</v>
      </c>
      <c r="E174" s="3">
        <v>-9.47874395454377E-3</v>
      </c>
      <c r="F174" s="3">
        <v>-8.0462214756292592E-3</v>
      </c>
      <c r="G174" s="3">
        <v>-6.4020400278313339E-3</v>
      </c>
      <c r="H174" s="3">
        <f>(Sheet1!$Y$19*' Rolling-window portfolio analy'!B174+Sheet1!$Z$19*' Rolling-window portfolio analy'!C174+Sheet1!$AA$19*' Rolling-window portfolio analy'!D174+Sheet1!$AB$19*' Rolling-window portfolio analy'!E174+Sheet1!$AC$19*' Rolling-window portfolio analy'!F174)</f>
        <v>-1.2791887522552746E-2</v>
      </c>
      <c r="I174" s="6">
        <f t="shared" si="2"/>
        <v>1.431092592261014</v>
      </c>
      <c r="J174" s="86">
        <f t="shared" si="3"/>
        <v>2.6815505361237986E-3</v>
      </c>
    </row>
    <row r="175" spans="1:10" x14ac:dyDescent="0.3">
      <c r="A175" s="2">
        <v>45779</v>
      </c>
      <c r="B175" s="3">
        <v>-3.8077545329833914E-2</v>
      </c>
      <c r="C175" s="3">
        <v>2.5564171326670906E-2</v>
      </c>
      <c r="D175" s="3">
        <v>2.3568631840698327E-2</v>
      </c>
      <c r="E175" s="3">
        <v>2.4834132037738394E-2</v>
      </c>
      <c r="F175" s="3">
        <v>2.0771737847135013E-2</v>
      </c>
      <c r="G175" s="3">
        <v>1.4619229243407843E-2</v>
      </c>
      <c r="H175" s="3">
        <f>(Sheet1!$Y$19*' Rolling-window portfolio analy'!B175+Sheet1!$Z$19*' Rolling-window portfolio analy'!C175+Sheet1!$AA$19*' Rolling-window portfolio analy'!D175+Sheet1!$AB$19*' Rolling-window portfolio analy'!E175+Sheet1!$AC$19*' Rolling-window portfolio analy'!F175)</f>
        <v>9.6647140552642424E-3</v>
      </c>
      <c r="I175" s="6">
        <f t="shared" si="2"/>
        <v>1.3880105445701763</v>
      </c>
      <c r="J175" s="86">
        <f t="shared" si="3"/>
        <v>2.369616911539659E-3</v>
      </c>
    </row>
    <row r="176" spans="1:10" x14ac:dyDescent="0.3">
      <c r="A176" s="2">
        <v>45778</v>
      </c>
      <c r="B176" s="3">
        <v>3.8513973679298731E-3</v>
      </c>
      <c r="C176" s="3">
        <v>2.4396983862064587E-2</v>
      </c>
      <c r="D176" s="3">
        <v>-5.8292622590870426E-3</v>
      </c>
      <c r="E176" s="3">
        <v>2.20710174359223E-2</v>
      </c>
      <c r="F176" s="3">
        <v>1.4239945446494263E-3</v>
      </c>
      <c r="G176" s="3">
        <v>6.2793318417251861E-3</v>
      </c>
      <c r="H176" s="3">
        <f>(Sheet1!$Y$19*' Rolling-window portfolio analy'!B176+Sheet1!$Z$19*' Rolling-window portfolio analy'!C176+Sheet1!$AA$19*' Rolling-window portfolio analy'!D176+Sheet1!$AB$19*' Rolling-window portfolio analy'!E176+Sheet1!$AC$19*' Rolling-window portfolio analy'!F176)</f>
        <v>1.9012191265342E-2</v>
      </c>
      <c r="I176" s="6">
        <f t="shared" si="2"/>
        <v>1.385306619133529</v>
      </c>
      <c r="J176" s="86">
        <f t="shared" si="3"/>
        <v>2.6372369025253689E-3</v>
      </c>
    </row>
    <row r="177" spans="1:10" x14ac:dyDescent="0.3">
      <c r="A177" s="2">
        <v>45777</v>
      </c>
      <c r="B177" s="3">
        <v>6.0890891684208118E-3</v>
      </c>
      <c r="C177" s="3">
        <v>-9.1768383057596746E-4</v>
      </c>
      <c r="D177" s="3">
        <v>-3.4382250789148187E-2</v>
      </c>
      <c r="E177" s="3">
        <v>-1.4582423294270163E-2</v>
      </c>
      <c r="F177" s="3">
        <v>7.1275840508581826E-4</v>
      </c>
      <c r="G177" s="3">
        <v>1.4789007797954687E-3</v>
      </c>
      <c r="H177" s="3">
        <f>(Sheet1!$Y$19*' Rolling-window portfolio analy'!B177+Sheet1!$Z$19*' Rolling-window portfolio analy'!C177+Sheet1!$AA$19*' Rolling-window portfolio analy'!D177+Sheet1!$AB$19*' Rolling-window portfolio analy'!E177+Sheet1!$AC$19*' Rolling-window portfolio analy'!F177)</f>
        <v>-5.3216242622832084E-4</v>
      </c>
      <c r="I177" s="6">
        <f t="shared" si="2"/>
        <v>1.3936735715667945</v>
      </c>
      <c r="J177" s="86">
        <f t="shared" si="3"/>
        <v>2.3565413490155536E-3</v>
      </c>
    </row>
    <row r="178" spans="1:10" x14ac:dyDescent="0.3">
      <c r="A178" s="2">
        <v>45776</v>
      </c>
      <c r="B178" s="3">
        <v>5.0789239354215587E-3</v>
      </c>
      <c r="C178" s="3">
        <v>2.6636066264767292E-3</v>
      </c>
      <c r="D178" s="3">
        <v>2.1284394365166676E-2</v>
      </c>
      <c r="E178" s="3">
        <v>-8.0410803435508969E-3</v>
      </c>
      <c r="F178" s="3">
        <v>6.4377904748485169E-3</v>
      </c>
      <c r="G178" s="3">
        <v>5.7856274963946795E-3</v>
      </c>
      <c r="H178" s="3">
        <f>(Sheet1!$Y$19*' Rolling-window portfolio analy'!B178+Sheet1!$Z$19*' Rolling-window portfolio analy'!C178+Sheet1!$AA$19*' Rolling-window portfolio analy'!D178+Sheet1!$AB$19*' Rolling-window portfolio analy'!E178+Sheet1!$AC$19*' Rolling-window portfolio analy'!F178)</f>
        <v>2.2825707094521926E-3</v>
      </c>
      <c r="I178" s="6">
        <f t="shared" si="2"/>
        <v>1.3890101192544639</v>
      </c>
      <c r="J178" s="86">
        <f t="shared" si="3"/>
        <v>2.3628468700914291E-3</v>
      </c>
    </row>
    <row r="179" spans="1:10" x14ac:dyDescent="0.3">
      <c r="A179" s="2">
        <v>45775</v>
      </c>
      <c r="B179" s="3">
        <v>4.1009069917952523E-3</v>
      </c>
      <c r="C179" s="3">
        <v>-2.0752542334897719E-2</v>
      </c>
      <c r="D179" s="3">
        <v>3.2584160707696359E-3</v>
      </c>
      <c r="E179" s="3">
        <v>-6.6061346771173896E-3</v>
      </c>
      <c r="F179" s="3">
        <v>1.0770060276379661E-3</v>
      </c>
      <c r="G179" s="3">
        <v>6.4049446913477337E-4</v>
      </c>
      <c r="H179" s="3">
        <f>(Sheet1!$Y$19*' Rolling-window portfolio analy'!B179+Sheet1!$Z$19*' Rolling-window portfolio analy'!C179+Sheet1!$AA$19*' Rolling-window portfolio analy'!D179+Sheet1!$AB$19*' Rolling-window portfolio analy'!E179+Sheet1!$AC$19*' Rolling-window portfolio analy'!F179)</f>
        <v>-1.3186435627147363E-2</v>
      </c>
      <c r="I179" s="6">
        <f t="shared" si="2"/>
        <v>1.402498453721776</v>
      </c>
      <c r="J179" s="86">
        <f t="shared" si="3"/>
        <v>1.9012474972404411E-3</v>
      </c>
    </row>
    <row r="180" spans="1:10" x14ac:dyDescent="0.3">
      <c r="A180" s="2">
        <v>45772</v>
      </c>
      <c r="B180" s="3">
        <v>4.3577226867250411E-3</v>
      </c>
      <c r="C180" s="3">
        <v>4.2132795291602881E-2</v>
      </c>
      <c r="D180" s="3">
        <v>9.3518488772072139E-2</v>
      </c>
      <c r="E180" s="3">
        <v>1.9222853646910091E-3</v>
      </c>
      <c r="F180" s="3">
        <v>-1.0718216220024147E-2</v>
      </c>
      <c r="G180" s="3">
        <v>7.3460954265644985E-3</v>
      </c>
      <c r="H180" s="3">
        <f>(Sheet1!$Y$19*' Rolling-window portfolio analy'!B180+Sheet1!$Z$19*' Rolling-window portfolio analy'!C180+Sheet1!$AA$19*' Rolling-window portfolio analy'!D180+Sheet1!$AB$19*' Rolling-window portfolio analy'!E180+Sheet1!$AC$19*' Rolling-window portfolio analy'!F180)</f>
        <v>2.9017588415428348E-2</v>
      </c>
      <c r="I180" s="6">
        <f t="shared" si="2"/>
        <v>1.4085475681858379</v>
      </c>
      <c r="J180" s="86">
        <f t="shared" si="3"/>
        <v>1.970300947267559E-3</v>
      </c>
    </row>
    <row r="181" spans="1:10" x14ac:dyDescent="0.3">
      <c r="A181" s="2">
        <v>45771</v>
      </c>
      <c r="B181" s="3">
        <v>1.8258492064582833E-2</v>
      </c>
      <c r="C181" s="3">
        <v>3.5578008875240007E-2</v>
      </c>
      <c r="D181" s="3">
        <v>3.437869182105744E-2</v>
      </c>
      <c r="E181" s="3">
        <v>1.3560467930460432E-2</v>
      </c>
      <c r="F181" s="3">
        <v>1.9738663457048309E-2</v>
      </c>
      <c r="G181" s="3">
        <v>2.005659908960853E-2</v>
      </c>
      <c r="H181" s="3">
        <f>(Sheet1!$Y$19*' Rolling-window portfolio analy'!B181+Sheet1!$Z$19*' Rolling-window portfolio analy'!C181+Sheet1!$AA$19*' Rolling-window portfolio analy'!D181+Sheet1!$AB$19*' Rolling-window portfolio analy'!E181+Sheet1!$AC$19*' Rolling-window portfolio analy'!F181)</f>
        <v>2.9180170254152336E-2</v>
      </c>
      <c r="I181" s="6">
        <f t="shared" si="2"/>
        <v>1.3940264818775394</v>
      </c>
      <c r="J181" s="86">
        <f t="shared" si="3"/>
        <v>2.2732005465848355E-3</v>
      </c>
    </row>
    <row r="182" spans="1:10" x14ac:dyDescent="0.3">
      <c r="A182" s="2">
        <v>45770</v>
      </c>
      <c r="B182" s="3">
        <v>2.4040332702537383E-2</v>
      </c>
      <c r="C182" s="3">
        <v>3.7901361895813487E-2</v>
      </c>
      <c r="D182" s="3">
        <v>5.2271930381594348E-2</v>
      </c>
      <c r="E182" s="3">
        <v>-6.6556544855721572E-2</v>
      </c>
      <c r="F182" s="3">
        <v>-6.8629490970030125E-3</v>
      </c>
      <c r="G182" s="3">
        <v>1.6523845474794581E-2</v>
      </c>
      <c r="H182" s="3">
        <f>(Sheet1!$Y$19*' Rolling-window portfolio analy'!B182+Sheet1!$Z$19*' Rolling-window portfolio analy'!C182+Sheet1!$AA$19*' Rolling-window portfolio analy'!D182+Sheet1!$AB$19*' Rolling-window portfolio analy'!E182+Sheet1!$AC$19*' Rolling-window portfolio analy'!F182)</f>
        <v>2.4571470506626572E-2</v>
      </c>
      <c r="I182" s="6">
        <f t="shared" si="2"/>
        <v>1.3890178969177978</v>
      </c>
      <c r="J182" s="86">
        <f t="shared" si="3"/>
        <v>2.379955677651883E-3</v>
      </c>
    </row>
    <row r="183" spans="1:10" x14ac:dyDescent="0.3">
      <c r="A183" s="2">
        <v>45769</v>
      </c>
      <c r="B183" s="3">
        <v>3.3497659809647508E-2</v>
      </c>
      <c r="C183" s="3">
        <v>2.0225408535440817E-2</v>
      </c>
      <c r="D183" s="3">
        <v>4.499437691527957E-2</v>
      </c>
      <c r="E183" s="3">
        <v>1.4706147389695487E-2</v>
      </c>
      <c r="F183" s="3">
        <v>1.1585936986372673E-2</v>
      </c>
      <c r="G183" s="3">
        <v>2.4807034313980802E-2</v>
      </c>
      <c r="H183" s="3">
        <f>(Sheet1!$Y$19*' Rolling-window portfolio analy'!B183+Sheet1!$Z$19*' Rolling-window portfolio analy'!C183+Sheet1!$AA$19*' Rolling-window portfolio analy'!D183+Sheet1!$AB$19*' Rolling-window portfolio analy'!E183+Sheet1!$AC$19*' Rolling-window portfolio analy'!F183)</f>
        <v>2.3047346688581081E-2</v>
      </c>
      <c r="I183" s="6">
        <f t="shared" si="2"/>
        <v>1.3170454234045479</v>
      </c>
      <c r="J183" s="86">
        <f t="shared" si="3"/>
        <v>2.4073624433065708E-3</v>
      </c>
    </row>
    <row r="184" spans="1:10" x14ac:dyDescent="0.3">
      <c r="A184" s="2">
        <v>45768</v>
      </c>
      <c r="B184" s="3">
        <v>-1.9583339736215177E-2</v>
      </c>
      <c r="C184" s="3">
        <v>-4.6177558714268076E-2</v>
      </c>
      <c r="D184" s="3">
        <v>-5.9180787487503148E-2</v>
      </c>
      <c r="E184" s="3">
        <v>-2.8942184370920207E-2</v>
      </c>
      <c r="F184" s="3">
        <v>-7.9797304096438145E-3</v>
      </c>
      <c r="G184" s="3">
        <v>-2.3849649226388613E-2</v>
      </c>
      <c r="H184" s="3">
        <f>(Sheet1!$Y$19*' Rolling-window portfolio analy'!B184+Sheet1!$Z$19*' Rolling-window portfolio analy'!C184+Sheet1!$AA$19*' Rolling-window portfolio analy'!D184+Sheet1!$AB$19*' Rolling-window portfolio analy'!E184+Sheet1!$AC$19*' Rolling-window portfolio analy'!F184)</f>
        <v>-3.7952661687097808E-2</v>
      </c>
      <c r="I184" s="6">
        <f t="shared" si="2"/>
        <v>1.3666488625859392</v>
      </c>
      <c r="J184" s="86">
        <f t="shared" si="3"/>
        <v>2.1624940780666916E-3</v>
      </c>
    </row>
    <row r="185" spans="1:10" x14ac:dyDescent="0.3">
      <c r="A185" s="2">
        <v>45764</v>
      </c>
      <c r="B185" s="3">
        <v>1.385325669086682E-2</v>
      </c>
      <c r="C185" s="3">
        <v>-2.9131101585292748E-2</v>
      </c>
      <c r="D185" s="3">
        <v>-7.4546512190748308E-4</v>
      </c>
      <c r="E185" s="3">
        <v>2.024991312698966E-2</v>
      </c>
      <c r="F185" s="3">
        <v>1.199360188147847E-2</v>
      </c>
      <c r="G185" s="3">
        <v>1.3259586728286152E-3</v>
      </c>
      <c r="H185" s="3">
        <f>(Sheet1!$Y$19*' Rolling-window portfolio analy'!B185+Sheet1!$Z$19*' Rolling-window portfolio analy'!C185+Sheet1!$AA$19*' Rolling-window portfolio analy'!D185+Sheet1!$AB$19*' Rolling-window portfolio analy'!E185+Sheet1!$AC$19*' Rolling-window portfolio analy'!F185)</f>
        <v>-1.3705837568960327E-2</v>
      </c>
      <c r="I185" s="6">
        <f t="shared" si="2"/>
        <v>1.3722377098076679</v>
      </c>
      <c r="J185" s="86">
        <f t="shared" si="3"/>
        <v>1.9097696250464425E-3</v>
      </c>
    </row>
    <row r="186" spans="1:10" x14ac:dyDescent="0.3">
      <c r="A186" s="2">
        <v>45763</v>
      </c>
      <c r="B186" s="3">
        <v>-3.9711582595827098E-2</v>
      </c>
      <c r="C186" s="3">
        <v>-7.1191620042576551E-2</v>
      </c>
      <c r="D186" s="3">
        <v>-5.0690753136140534E-2</v>
      </c>
      <c r="E186" s="3">
        <v>-7.8647271061326493E-4</v>
      </c>
      <c r="F186" s="3">
        <v>-1.991015995932964E-2</v>
      </c>
      <c r="G186" s="3">
        <v>-2.2663312700996363E-2</v>
      </c>
      <c r="H186" s="3">
        <f>(Sheet1!$Y$19*' Rolling-window portfolio analy'!B186+Sheet1!$Z$19*' Rolling-window portfolio analy'!C186+Sheet1!$AA$19*' Rolling-window portfolio analy'!D186+Sheet1!$AB$19*' Rolling-window portfolio analy'!E186+Sheet1!$AC$19*' Rolling-window portfolio analy'!F186)</f>
        <v>-5.6647214118035652E-2</v>
      </c>
      <c r="I186" s="6">
        <f t="shared" si="2"/>
        <v>1.5304771129600576</v>
      </c>
      <c r="J186" s="86">
        <f t="shared" si="3"/>
        <v>6.1761387568220506E-4</v>
      </c>
    </row>
    <row r="187" spans="1:10" x14ac:dyDescent="0.3">
      <c r="A187" s="2">
        <v>45762</v>
      </c>
      <c r="B187" s="3">
        <v>-1.8781204551920384E-3</v>
      </c>
      <c r="C187" s="3">
        <v>1.3368823217220485E-2</v>
      </c>
      <c r="D187" s="3">
        <v>6.950231350284759E-3</v>
      </c>
      <c r="E187" s="3">
        <v>9.2142286772440574E-3</v>
      </c>
      <c r="F187" s="3">
        <v>-1.3174482878179116E-2</v>
      </c>
      <c r="G187" s="3">
        <v>-1.7292137684181356E-3</v>
      </c>
      <c r="H187" s="3">
        <f>(Sheet1!$Y$19*' Rolling-window portfolio analy'!B187+Sheet1!$Z$19*' Rolling-window portfolio analy'!C187+Sheet1!$AA$19*' Rolling-window portfolio analy'!D187+Sheet1!$AB$19*' Rolling-window portfolio analy'!E187+Sheet1!$AC$19*' Rolling-window portfolio analy'!F187)</f>
        <v>9.1714247209519224E-3</v>
      </c>
      <c r="I187" s="6">
        <f t="shared" si="2"/>
        <v>1.5198637466985603</v>
      </c>
      <c r="J187" s="86">
        <f t="shared" si="3"/>
        <v>1.0134788514574136E-3</v>
      </c>
    </row>
    <row r="188" spans="1:10" x14ac:dyDescent="0.3">
      <c r="A188" s="2">
        <v>45761</v>
      </c>
      <c r="B188" s="3">
        <v>2.1814327465264516E-2</v>
      </c>
      <c r="C188" s="3">
        <v>-1.9852018791929812E-3</v>
      </c>
      <c r="D188" s="3">
        <v>1.585225699826941E-4</v>
      </c>
      <c r="E188" s="3">
        <v>-3.1687377979659711E-3</v>
      </c>
      <c r="F188" s="3">
        <v>9.2395824334816426E-3</v>
      </c>
      <c r="G188" s="3">
        <v>7.9132540931510648E-3</v>
      </c>
      <c r="H188" s="3">
        <f>(Sheet1!$Y$19*' Rolling-window portfolio analy'!B188+Sheet1!$Z$19*' Rolling-window portfolio analy'!C188+Sheet1!$AA$19*' Rolling-window portfolio analy'!D188+Sheet1!$AB$19*' Rolling-window portfolio analy'!E188+Sheet1!$AC$19*' Rolling-window portfolio analy'!F188)</f>
        <v>3.824943065910674E-3</v>
      </c>
      <c r="I188" s="6">
        <f t="shared" si="2"/>
        <v>1.5199851810641363</v>
      </c>
      <c r="J188" s="86">
        <f t="shared" si="3"/>
        <v>7.2360174309408012E-4</v>
      </c>
    </row>
    <row r="189" spans="1:10" x14ac:dyDescent="0.3">
      <c r="A189" s="2">
        <v>45758</v>
      </c>
      <c r="B189" s="3">
        <v>3.9792160778898779E-2</v>
      </c>
      <c r="C189" s="3">
        <v>3.0757573306654296E-2</v>
      </c>
      <c r="D189" s="3">
        <v>-3.5664045076955772E-4</v>
      </c>
      <c r="E189" s="3">
        <v>3.4056113289248735E-2</v>
      </c>
      <c r="F189" s="3">
        <v>6.8064027767203023E-3</v>
      </c>
      <c r="G189" s="3">
        <v>1.7930369252113488E-2</v>
      </c>
      <c r="H189" s="3">
        <f>(Sheet1!$Y$19*' Rolling-window portfolio analy'!B189+Sheet1!$Z$19*' Rolling-window portfolio analy'!C189+Sheet1!$AA$19*' Rolling-window portfolio analy'!D189+Sheet1!$AB$19*' Rolling-window portfolio analy'!E189+Sheet1!$AC$19*' Rolling-window portfolio analy'!F189)</f>
        <v>3.3260788754861631E-2</v>
      </c>
      <c r="I189" s="6">
        <f t="shared" si="2"/>
        <v>1.5341187950378743</v>
      </c>
      <c r="J189" s="86">
        <f t="shared" si="3"/>
        <v>7.3182182151919871E-4</v>
      </c>
    </row>
    <row r="190" spans="1:10" x14ac:dyDescent="0.3">
      <c r="A190" s="2">
        <v>45757</v>
      </c>
      <c r="B190" s="3">
        <v>-4.3318612796154309E-2</v>
      </c>
      <c r="C190" s="3">
        <v>-6.0947205109964556E-2</v>
      </c>
      <c r="D190" s="3">
        <v>-7.5521959550307549E-2</v>
      </c>
      <c r="E190" s="3">
        <v>-5.5444513387797115E-2</v>
      </c>
      <c r="F190" s="3">
        <v>-2.9747235904728879E-2</v>
      </c>
      <c r="G190" s="3">
        <v>-3.5220587845117973E-2</v>
      </c>
      <c r="H190" s="3">
        <f>(Sheet1!$Y$19*' Rolling-window portfolio analy'!B190+Sheet1!$Z$19*' Rolling-window portfolio analy'!C190+Sheet1!$AA$19*' Rolling-window portfolio analy'!D190+Sheet1!$AB$19*' Rolling-window portfolio analy'!E190+Sheet1!$AC$19*' Rolling-window portfolio analy'!F190)</f>
        <v>-5.6067724405613126E-2</v>
      </c>
      <c r="I190" s="6">
        <f t="shared" si="2"/>
        <v>1.5474892080384068</v>
      </c>
      <c r="J190" s="86">
        <f t="shared" si="3"/>
        <v>6.3957058249816678E-4</v>
      </c>
    </row>
    <row r="191" spans="1:10" x14ac:dyDescent="0.3">
      <c r="A191" s="2">
        <v>45756</v>
      </c>
      <c r="B191" s="3">
        <v>0.14261741087192081</v>
      </c>
      <c r="C191" s="3">
        <v>0.17162068474979875</v>
      </c>
      <c r="D191" s="3">
        <v>0.20449053790685212</v>
      </c>
      <c r="E191" s="3">
        <v>0.10178269430994238</v>
      </c>
      <c r="F191" s="3">
        <v>7.1213458983593061E-2</v>
      </c>
      <c r="G191" s="3">
        <v>9.0894901648714818E-2</v>
      </c>
      <c r="H191" s="3">
        <f>(Sheet1!$Y$19*' Rolling-window portfolio analy'!B191+Sheet1!$Z$19*' Rolling-window portfolio analy'!C191+Sheet1!$AA$19*' Rolling-window portfolio analy'!D191+Sheet1!$AB$19*' Rolling-window portfolio analy'!E191+Sheet1!$AC$19*' Rolling-window portfolio analy'!F191)</f>
        <v>0.15784280195291833</v>
      </c>
      <c r="I191" s="6">
        <f t="shared" ref="I191:I254" si="4">SLOPE(H132:H191,G132:G191)</f>
        <v>1.6480657887983878</v>
      </c>
      <c r="J191" s="86">
        <f t="shared" ref="J191:J254" si="5">AVERAGE(H132:H191)-($N$1+I191*(AVERAGE(G132:G191)-$N$1))</f>
        <v>3.8617643492693064E-4</v>
      </c>
    </row>
    <row r="192" spans="1:10" x14ac:dyDescent="0.3">
      <c r="A192" s="2">
        <v>45755</v>
      </c>
      <c r="B192" s="3">
        <v>-5.1101882959704026E-2</v>
      </c>
      <c r="C192" s="3">
        <v>-1.3818926720679537E-2</v>
      </c>
      <c r="D192" s="3">
        <v>-5.0235762532033747E-2</v>
      </c>
      <c r="E192" s="3">
        <v>-2.008270011694346E-2</v>
      </c>
      <c r="F192" s="3">
        <v>-1.4875692680570946E-2</v>
      </c>
      <c r="G192" s="3">
        <v>-1.5825087196812301E-2</v>
      </c>
      <c r="H192" s="3">
        <f>(Sheet1!$Y$19*' Rolling-window portfolio analy'!B192+Sheet1!$Z$19*' Rolling-window portfolio analy'!C192+Sheet1!$AA$19*' Rolling-window portfolio analy'!D192+Sheet1!$AB$19*' Rolling-window portfolio analy'!E192+Sheet1!$AC$19*' Rolling-window portfolio analy'!F192)</f>
        <v>-2.375078171027321E-2</v>
      </c>
      <c r="I192" s="6">
        <f t="shared" si="4"/>
        <v>1.6473430372414564</v>
      </c>
      <c r="J192" s="86">
        <f t="shared" si="5"/>
        <v>3.8094155149438411E-4</v>
      </c>
    </row>
    <row r="193" spans="1:10" x14ac:dyDescent="0.3">
      <c r="A193" s="2">
        <v>45754</v>
      </c>
      <c r="B193" s="3">
        <v>-3.7425955653188146E-2</v>
      </c>
      <c r="C193" s="3">
        <v>3.4700016968965922E-2</v>
      </c>
      <c r="D193" s="3">
        <v>-2.5978783713479968E-2</v>
      </c>
      <c r="E193" s="3">
        <v>8.4364954825449055E-3</v>
      </c>
      <c r="F193" s="3">
        <v>-4.4198966981512473E-3</v>
      </c>
      <c r="G193" s="3">
        <v>-2.3341792090838189E-3</v>
      </c>
      <c r="H193" s="3">
        <f>(Sheet1!$Y$19*' Rolling-window portfolio analy'!B193+Sheet1!$Z$19*' Rolling-window portfolio analy'!C193+Sheet1!$AA$19*' Rolling-window portfolio analy'!D193+Sheet1!$AB$19*' Rolling-window portfolio analy'!E193+Sheet1!$AC$19*' Rolling-window portfolio analy'!F193)</f>
        <v>1.4162115957058399E-2</v>
      </c>
      <c r="I193" s="6">
        <f t="shared" si="4"/>
        <v>1.6420529443527023</v>
      </c>
      <c r="J193" s="86">
        <f t="shared" si="5"/>
        <v>7.6820599596488098E-4</v>
      </c>
    </row>
    <row r="194" spans="1:10" x14ac:dyDescent="0.3">
      <c r="A194" s="2">
        <v>45751</v>
      </c>
      <c r="B194" s="3">
        <v>-7.5680302500250957E-2</v>
      </c>
      <c r="C194" s="3">
        <v>-7.6422875560628892E-2</v>
      </c>
      <c r="D194" s="3">
        <v>-0.11003569949247373</v>
      </c>
      <c r="E194" s="3">
        <v>-0.14315732326566372</v>
      </c>
      <c r="F194" s="3">
        <v>-2.826275073220709E-2</v>
      </c>
      <c r="G194" s="3">
        <v>-6.160907367588022E-2</v>
      </c>
      <c r="H194" s="3">
        <f>(Sheet1!$Y$19*' Rolling-window portfolio analy'!B194+Sheet1!$Z$19*' Rolling-window portfolio analy'!C194+Sheet1!$AA$19*' Rolling-window portfolio analy'!D194+Sheet1!$AB$19*' Rolling-window portfolio analy'!E194+Sheet1!$AC$19*' Rolling-window portfolio analy'!F194)</f>
        <v>-8.2629652473507911E-2</v>
      </c>
      <c r="I194" s="6">
        <f t="shared" si="4"/>
        <v>1.58073459789917</v>
      </c>
      <c r="J194" s="86">
        <f t="shared" si="5"/>
        <v>9.2229674590615712E-4</v>
      </c>
    </row>
    <row r="195" spans="1:10" x14ac:dyDescent="0.3">
      <c r="A195" s="2">
        <v>45750</v>
      </c>
      <c r="B195" s="3">
        <v>-9.7013357916483689E-2</v>
      </c>
      <c r="C195" s="3">
        <v>-8.1281172739476215E-2</v>
      </c>
      <c r="D195" s="3">
        <v>-5.6301683254252249E-2</v>
      </c>
      <c r="E195" s="3">
        <v>-9.4731540480766444E-2</v>
      </c>
      <c r="F195" s="3">
        <v>-6.0645637504646875E-2</v>
      </c>
      <c r="G195" s="3">
        <v>-4.9605877563395052E-2</v>
      </c>
      <c r="H195" s="3">
        <f>(Sheet1!$Y$19*' Rolling-window portfolio analy'!B195+Sheet1!$Z$19*' Rolling-window portfolio analy'!C195+Sheet1!$AA$19*' Rolling-window portfolio analy'!D195+Sheet1!$AB$19*' Rolling-window portfolio analy'!E195+Sheet1!$AC$19*' Rolling-window portfolio analy'!F195)</f>
        <v>-8.6424099555927295E-2</v>
      </c>
      <c r="I195" s="6">
        <f t="shared" si="4"/>
        <v>1.5995665555496066</v>
      </c>
      <c r="J195" s="86">
        <f t="shared" si="5"/>
        <v>9.9697604806527063E-4</v>
      </c>
    </row>
    <row r="196" spans="1:10" x14ac:dyDescent="0.3">
      <c r="A196" s="2">
        <v>45749</v>
      </c>
      <c r="B196" s="3">
        <v>3.1314331753118378E-3</v>
      </c>
      <c r="C196" s="3">
        <v>2.4482036075463964E-3</v>
      </c>
      <c r="D196" s="3">
        <v>5.1896554243263324E-2</v>
      </c>
      <c r="E196" s="3">
        <v>2.6749904493030552E-3</v>
      </c>
      <c r="F196" s="3">
        <v>6.747663928775279E-3</v>
      </c>
      <c r="G196" s="3">
        <v>6.7055923394208307E-3</v>
      </c>
      <c r="H196" s="3">
        <f>(Sheet1!$Y$19*' Rolling-window portfolio analy'!B196+Sheet1!$Z$19*' Rolling-window portfolio analy'!C196+Sheet1!$AA$19*' Rolling-window portfolio analy'!D196+Sheet1!$AB$19*' Rolling-window portfolio analy'!E196+Sheet1!$AC$19*' Rolling-window portfolio analy'!F196)</f>
        <v>2.7293062748375528E-3</v>
      </c>
      <c r="I196" s="6">
        <f t="shared" si="4"/>
        <v>1.5978749987503089</v>
      </c>
      <c r="J196" s="86">
        <f t="shared" si="5"/>
        <v>8.9226075958568534E-4</v>
      </c>
    </row>
    <row r="197" spans="1:10" x14ac:dyDescent="0.3">
      <c r="A197" s="2">
        <v>45748</v>
      </c>
      <c r="B197" s="3">
        <v>4.7606305665627204E-3</v>
      </c>
      <c r="C197" s="3">
        <v>1.6199503110384043E-2</v>
      </c>
      <c r="D197" s="3">
        <v>3.5256295477733443E-2</v>
      </c>
      <c r="E197" s="3">
        <v>1.9155515289753393E-2</v>
      </c>
      <c r="F197" s="3">
        <v>3.730714857852346E-3</v>
      </c>
      <c r="G197" s="3">
        <v>3.7741531622356647E-3</v>
      </c>
      <c r="H197" s="3">
        <f>(Sheet1!$Y$19*' Rolling-window portfolio analy'!B197+Sheet1!$Z$19*' Rolling-window portfolio analy'!C197+Sheet1!$AA$19*' Rolling-window portfolio analy'!D197+Sheet1!$AB$19*' Rolling-window portfolio analy'!E197+Sheet1!$AC$19*' Rolling-window portfolio analy'!F197)</f>
        <v>1.3669826668898337E-2</v>
      </c>
      <c r="I197" s="6">
        <f t="shared" si="4"/>
        <v>1.5982875474513984</v>
      </c>
      <c r="J197" s="86">
        <f t="shared" si="5"/>
        <v>9.764966866557933E-4</v>
      </c>
    </row>
    <row r="198" spans="1:10" x14ac:dyDescent="0.3">
      <c r="A198" s="2">
        <v>45747</v>
      </c>
      <c r="B198" s="3">
        <v>1.9226554118956955E-2</v>
      </c>
      <c r="C198" s="3">
        <v>-1.183228663414946E-2</v>
      </c>
      <c r="D198" s="3">
        <v>-1.6797471719459368E-2</v>
      </c>
      <c r="E198" s="3">
        <v>1.9993771842998324E-2</v>
      </c>
      <c r="F198" s="3">
        <v>1.0932804487849519E-2</v>
      </c>
      <c r="G198" s="3">
        <v>5.523212456950013E-3</v>
      </c>
      <c r="H198" s="3">
        <f>(Sheet1!$Y$19*' Rolling-window portfolio analy'!B198+Sheet1!$Z$19*' Rolling-window portfolio analy'!C198+Sheet1!$AA$19*' Rolling-window portfolio analy'!D198+Sheet1!$AB$19*' Rolling-window portfolio analy'!E198+Sheet1!$AC$19*' Rolling-window portfolio analy'!F198)</f>
        <v>-1.0984548281104763E-3</v>
      </c>
      <c r="I198" s="6">
        <f t="shared" si="4"/>
        <v>1.599112649503772</v>
      </c>
      <c r="J198" s="86">
        <f t="shared" si="5"/>
        <v>9.5355655223609836E-4</v>
      </c>
    </row>
    <row r="199" spans="1:10" x14ac:dyDescent="0.3">
      <c r="A199" s="2">
        <v>45744</v>
      </c>
      <c r="B199" s="3">
        <v>-2.693994273640031E-2</v>
      </c>
      <c r="C199" s="3">
        <v>-1.5920734286845054E-2</v>
      </c>
      <c r="D199" s="3">
        <v>-3.570476901722984E-2</v>
      </c>
      <c r="E199" s="3">
        <v>-1.2686134847330575E-2</v>
      </c>
      <c r="F199" s="3">
        <v>-2.7445395348744663E-2</v>
      </c>
      <c r="G199" s="3">
        <v>-1.9934580336265845E-2</v>
      </c>
      <c r="H199" s="3">
        <f>(Sheet1!$Y$19*' Rolling-window portfolio analy'!B199+Sheet1!$Z$19*' Rolling-window portfolio analy'!C199+Sheet1!$AA$19*' Rolling-window portfolio analy'!D199+Sheet1!$AB$19*' Rolling-window portfolio analy'!E199+Sheet1!$AC$19*' Rolling-window portfolio analy'!F199)</f>
        <v>-1.839006386530629E-2</v>
      </c>
      <c r="I199" s="6">
        <f t="shared" si="4"/>
        <v>1.5886008592720586</v>
      </c>
      <c r="J199" s="86">
        <f t="shared" si="5"/>
        <v>7.1703041346994883E-4</v>
      </c>
    </row>
    <row r="200" spans="1:10" x14ac:dyDescent="0.3">
      <c r="A200" s="2">
        <v>45743</v>
      </c>
      <c r="B200" s="3">
        <v>1.041816419239041E-2</v>
      </c>
      <c r="C200" s="3">
        <v>-2.0694374995968212E-2</v>
      </c>
      <c r="D200" s="3">
        <v>3.9252421131618529E-3</v>
      </c>
      <c r="E200" s="3">
        <v>-8.899088962797428E-3</v>
      </c>
      <c r="F200" s="3">
        <v>6.6867270963588384E-4</v>
      </c>
      <c r="G200" s="3">
        <v>-3.3124371066493626E-3</v>
      </c>
      <c r="H200" s="3">
        <f>(Sheet1!$Y$19*' Rolling-window portfolio analy'!B200+Sheet1!$Z$19*' Rolling-window portfolio analy'!C200+Sheet1!$AA$19*' Rolling-window portfolio analy'!D200+Sheet1!$AB$19*' Rolling-window portfolio analy'!E200+Sheet1!$AC$19*' Rolling-window portfolio analy'!F200)</f>
        <v>-1.1793667066604879E-2</v>
      </c>
      <c r="I200" s="6">
        <f t="shared" si="4"/>
        <v>1.5911605233467017</v>
      </c>
      <c r="J200" s="86">
        <f t="shared" si="5"/>
        <v>6.4008836022917529E-4</v>
      </c>
    </row>
    <row r="201" spans="1:10" x14ac:dyDescent="0.3">
      <c r="A201" s="2">
        <v>45742</v>
      </c>
      <c r="B201" s="3">
        <v>-9.9713366603807335E-3</v>
      </c>
      <c r="C201" s="3">
        <v>-5.9134308574875692E-2</v>
      </c>
      <c r="D201" s="3">
        <v>-5.7423842928042861E-2</v>
      </c>
      <c r="E201" s="3">
        <v>-2.6010434941541542E-2</v>
      </c>
      <c r="F201" s="3">
        <v>1.245178464080946E-2</v>
      </c>
      <c r="G201" s="3">
        <v>-1.1219691455108281E-2</v>
      </c>
      <c r="H201" s="3">
        <f>(Sheet1!$Y$19*' Rolling-window portfolio analy'!B201+Sheet1!$Z$19*' Rolling-window portfolio analy'!C201+Sheet1!$AA$19*' Rolling-window portfolio analy'!D201+Sheet1!$AB$19*' Rolling-window portfolio analy'!E201+Sheet1!$AC$19*' Rolling-window portfolio analy'!F201)</f>
        <v>-4.3763075019086044E-2</v>
      </c>
      <c r="I201" s="6">
        <f t="shared" si="4"/>
        <v>1.6117267302213723</v>
      </c>
      <c r="J201" s="86">
        <f t="shared" si="5"/>
        <v>4.651441097716241E-4</v>
      </c>
    </row>
    <row r="202" spans="1:10" x14ac:dyDescent="0.3">
      <c r="A202" s="2">
        <v>45741</v>
      </c>
      <c r="B202" s="3">
        <v>1.3589122001844327E-2</v>
      </c>
      <c r="C202" s="3">
        <v>-5.9479729260773087E-3</v>
      </c>
      <c r="D202" s="3">
        <v>3.4423464858414285E-2</v>
      </c>
      <c r="E202" s="3">
        <v>1.2920652013838709E-2</v>
      </c>
      <c r="F202" s="3">
        <v>-1.0778144082779854E-2</v>
      </c>
      <c r="G202" s="3">
        <v>1.5730819184730236E-3</v>
      </c>
      <c r="H202" s="3">
        <f>(Sheet1!$Y$19*' Rolling-window portfolio analy'!B202+Sheet1!$Z$19*' Rolling-window portfolio analy'!C202+Sheet1!$AA$19*' Rolling-window portfolio analy'!D202+Sheet1!$AB$19*' Rolling-window portfolio analy'!E202+Sheet1!$AC$19*' Rolling-window portfolio analy'!F202)</f>
        <v>7.7367429430329432E-4</v>
      </c>
      <c r="I202" s="6">
        <f t="shared" si="4"/>
        <v>1.6118030043497262</v>
      </c>
      <c r="J202" s="86">
        <f t="shared" si="5"/>
        <v>4.0711856067149289E-4</v>
      </c>
    </row>
    <row r="203" spans="1:10" x14ac:dyDescent="0.3">
      <c r="A203" s="2">
        <v>45740</v>
      </c>
      <c r="B203" s="3">
        <v>1.1207406602134005E-2</v>
      </c>
      <c r="C203" s="3">
        <v>3.1034233289652859E-2</v>
      </c>
      <c r="D203" s="3">
        <v>0.11273544918666345</v>
      </c>
      <c r="E203" s="3">
        <v>1.1047344909170026E-2</v>
      </c>
      <c r="F203" s="3">
        <v>9.4245059742253407E-3</v>
      </c>
      <c r="G203" s="3">
        <v>1.7492157944606672E-2</v>
      </c>
      <c r="H203" s="3">
        <f>(Sheet1!$Y$19*' Rolling-window portfolio analy'!B203+Sheet1!$Z$19*' Rolling-window portfolio analy'!C203+Sheet1!$AA$19*' Rolling-window portfolio analy'!D203+Sheet1!$AB$19*' Rolling-window portfolio analy'!E203+Sheet1!$AC$19*' Rolling-window portfolio analy'!F203)</f>
        <v>2.4355852736929976E-2</v>
      </c>
      <c r="I203" s="6">
        <f t="shared" si="4"/>
        <v>1.6090847669695059</v>
      </c>
      <c r="J203" s="86">
        <f t="shared" si="5"/>
        <v>2.3892431412856209E-4</v>
      </c>
    </row>
    <row r="204" spans="1:10" x14ac:dyDescent="0.3">
      <c r="A204" s="2">
        <v>45737</v>
      </c>
      <c r="B204" s="3">
        <v>1.9289632955349155E-2</v>
      </c>
      <c r="C204" s="3">
        <v>-7.0270788251779615E-3</v>
      </c>
      <c r="D204" s="3">
        <v>5.135466556787515E-2</v>
      </c>
      <c r="E204" s="3">
        <v>-1.3063248828511682E-2</v>
      </c>
      <c r="F204" s="3">
        <v>-1.3770158810065816E-2</v>
      </c>
      <c r="G204" s="3">
        <v>8.2432741231720308E-4</v>
      </c>
      <c r="H204" s="3">
        <f>(Sheet1!$Y$19*' Rolling-window portfolio analy'!B204+Sheet1!$Z$19*' Rolling-window portfolio analy'!C204+Sheet1!$AA$19*' Rolling-window portfolio analy'!D204+Sheet1!$AB$19*' Rolling-window portfolio analy'!E204+Sheet1!$AC$19*' Rolling-window portfolio analy'!F204)</f>
        <v>-9.4928263921598686E-4</v>
      </c>
      <c r="I204" s="6">
        <f t="shared" si="4"/>
        <v>1.6127417443065171</v>
      </c>
      <c r="J204" s="86">
        <f t="shared" si="5"/>
        <v>5.0992385791490255E-5</v>
      </c>
    </row>
    <row r="205" spans="1:10" x14ac:dyDescent="0.3">
      <c r="A205" s="2">
        <v>45736</v>
      </c>
      <c r="B205" s="3">
        <v>-5.3104890255818429E-3</v>
      </c>
      <c r="C205" s="3">
        <v>8.5575612257871476E-3</v>
      </c>
      <c r="D205" s="3">
        <v>1.6944848585497799E-3</v>
      </c>
      <c r="E205" s="3">
        <v>2.0159039193416804E-3</v>
      </c>
      <c r="F205" s="3">
        <v>-2.9975043259860153E-3</v>
      </c>
      <c r="G205" s="3">
        <v>-2.1873007738032347E-3</v>
      </c>
      <c r="H205" s="3">
        <f>(Sheet1!$Y$19*' Rolling-window portfolio analy'!B205+Sheet1!$Z$19*' Rolling-window portfolio analy'!C205+Sheet1!$AA$19*' Rolling-window portfolio analy'!D205+Sheet1!$AB$19*' Rolling-window portfolio analy'!E205+Sheet1!$AC$19*' Rolling-window portfolio analy'!F205)</f>
        <v>4.4758248153449554E-3</v>
      </c>
      <c r="I205" s="6">
        <f t="shared" si="4"/>
        <v>1.6117335015941558</v>
      </c>
      <c r="J205" s="86">
        <f t="shared" si="5"/>
        <v>1.8963578206116871E-4</v>
      </c>
    </row>
    <row r="206" spans="1:10" x14ac:dyDescent="0.3">
      <c r="A206" s="2">
        <v>45735</v>
      </c>
      <c r="B206" s="3">
        <v>1.1917978094765389E-2</v>
      </c>
      <c r="C206" s="3">
        <v>1.7944246238800962E-2</v>
      </c>
      <c r="D206" s="3">
        <v>4.5761176944529594E-2</v>
      </c>
      <c r="E206" s="3">
        <v>2.0385756924473961E-2</v>
      </c>
      <c r="F206" s="3">
        <v>-6.2987113597722539E-3</v>
      </c>
      <c r="G206" s="3">
        <v>1.0740629118978858E-2</v>
      </c>
      <c r="H206" s="3">
        <f>(Sheet1!$Y$19*' Rolling-window portfolio analy'!B206+Sheet1!$Z$19*' Rolling-window portfolio analy'!C206+Sheet1!$AA$19*' Rolling-window portfolio analy'!D206+Sheet1!$AB$19*' Rolling-window portfolio analy'!E206+Sheet1!$AC$19*' Rolling-window portfolio analy'!F206)</f>
        <v>1.6727671985791181E-2</v>
      </c>
      <c r="I206" s="6">
        <f t="shared" si="4"/>
        <v>1.6125564335499614</v>
      </c>
      <c r="J206" s="86">
        <f t="shared" si="5"/>
        <v>1.4461287525433918E-4</v>
      </c>
    </row>
    <row r="207" spans="1:10" x14ac:dyDescent="0.3">
      <c r="A207" s="2">
        <v>45734</v>
      </c>
      <c r="B207" s="3">
        <v>-6.1403084953978448E-3</v>
      </c>
      <c r="C207" s="3">
        <v>-3.4903100263068657E-2</v>
      </c>
      <c r="D207" s="3">
        <v>-5.4835457878221687E-2</v>
      </c>
      <c r="E207" s="3">
        <v>-4.1105333054850205E-3</v>
      </c>
      <c r="F207" s="3">
        <v>-2.3106133402797983E-3</v>
      </c>
      <c r="G207" s="3">
        <v>-1.071067425391002E-2</v>
      </c>
      <c r="H207" s="3">
        <f>(Sheet1!$Y$19*' Rolling-window portfolio analy'!B207+Sheet1!$Z$19*' Rolling-window portfolio analy'!C207+Sheet1!$AA$19*' Rolling-window portfolio analy'!D207+Sheet1!$AB$19*' Rolling-window portfolio analy'!E207+Sheet1!$AC$19*' Rolling-window portfolio analy'!F207)</f>
        <v>-2.486543848872259E-2</v>
      </c>
      <c r="I207" s="6">
        <f t="shared" si="4"/>
        <v>1.6161250238459728</v>
      </c>
      <c r="J207" s="86">
        <f t="shared" si="5"/>
        <v>-3.8667674895545524E-5</v>
      </c>
    </row>
    <row r="208" spans="1:10" x14ac:dyDescent="0.3">
      <c r="A208" s="2">
        <v>45733</v>
      </c>
      <c r="B208" s="3">
        <v>2.3860218576188547E-3</v>
      </c>
      <c r="C208" s="3">
        <v>-1.7745075909468073E-2</v>
      </c>
      <c r="D208" s="3">
        <v>-4.9068225066559674E-2</v>
      </c>
      <c r="E208" s="3">
        <v>2.3986389827481393E-2</v>
      </c>
      <c r="F208" s="3">
        <v>1.0606662248213961E-2</v>
      </c>
      <c r="G208" s="3">
        <v>6.3956039343475201E-3</v>
      </c>
      <c r="H208" s="3">
        <f>(Sheet1!$Y$19*' Rolling-window portfolio analy'!B208+Sheet1!$Z$19*' Rolling-window portfolio analy'!C208+Sheet1!$AA$19*' Rolling-window portfolio analy'!D208+Sheet1!$AB$19*' Rolling-window portfolio analy'!E208+Sheet1!$AC$19*' Rolling-window portfolio analy'!F208)</f>
        <v>-8.8369528601552876E-3</v>
      </c>
      <c r="I208" s="6">
        <f t="shared" si="4"/>
        <v>1.6107370896755657</v>
      </c>
      <c r="J208" s="86">
        <f t="shared" si="5"/>
        <v>-2.5864120191253746E-4</v>
      </c>
    </row>
    <row r="209" spans="1:10" x14ac:dyDescent="0.3">
      <c r="A209" s="2">
        <v>45730</v>
      </c>
      <c r="B209" s="3">
        <v>1.8007434149081746E-2</v>
      </c>
      <c r="C209" s="3">
        <v>5.1349530909725834E-2</v>
      </c>
      <c r="D209" s="3">
        <v>3.7912664309924612E-2</v>
      </c>
      <c r="E209" s="3">
        <v>2.6012343930493304E-2</v>
      </c>
      <c r="F209" s="3">
        <v>2.9762088480932671E-2</v>
      </c>
      <c r="G209" s="3">
        <v>2.1042919881408308E-2</v>
      </c>
      <c r="H209" s="3">
        <f>(Sheet1!$Y$19*' Rolling-window portfolio analy'!B209+Sheet1!$Z$19*' Rolling-window portfolio analy'!C209+Sheet1!$AA$19*' Rolling-window portfolio analy'!D209+Sheet1!$AB$19*' Rolling-window portfolio analy'!E209+Sheet1!$AC$19*' Rolling-window portfolio analy'!F209)</f>
        <v>4.063005680513064E-2</v>
      </c>
      <c r="I209" s="6">
        <f t="shared" si="4"/>
        <v>1.6166257692244965</v>
      </c>
      <c r="J209" s="86">
        <f t="shared" si="5"/>
        <v>-1.6550017303234221E-4</v>
      </c>
    </row>
    <row r="210" spans="1:10" x14ac:dyDescent="0.3">
      <c r="A210" s="2">
        <v>45729</v>
      </c>
      <c r="B210" s="3">
        <v>-3.4222624379153584E-2</v>
      </c>
      <c r="C210" s="3">
        <v>-1.383365256060755E-3</v>
      </c>
      <c r="D210" s="3">
        <v>-3.0323333205188981E-2</v>
      </c>
      <c r="E210" s="3">
        <v>-1.7573475284628607E-2</v>
      </c>
      <c r="F210" s="3">
        <v>-1.4315172880764058E-2</v>
      </c>
      <c r="G210" s="3">
        <v>-1.3988405225352909E-2</v>
      </c>
      <c r="H210" s="3">
        <f>(Sheet1!$Y$19*' Rolling-window portfolio analy'!B210+Sheet1!$Z$19*' Rolling-window portfolio analy'!C210+Sheet1!$AA$19*' Rolling-window portfolio analy'!D210+Sheet1!$AB$19*' Rolling-window portfolio analy'!E210+Sheet1!$AC$19*' Rolling-window portfolio analy'!F210)</f>
        <v>-1.1138209954613756E-2</v>
      </c>
      <c r="I210" s="6">
        <f t="shared" si="4"/>
        <v>1.6089588789181815</v>
      </c>
      <c r="J210" s="86">
        <f t="shared" si="5"/>
        <v>1.9641210626603761E-5</v>
      </c>
    </row>
    <row r="211" spans="1:10" x14ac:dyDescent="0.3">
      <c r="A211" s="2">
        <v>45728</v>
      </c>
      <c r="B211" s="3">
        <v>-1.7633274021539299E-2</v>
      </c>
      <c r="C211" s="3">
        <v>6.2202676381422621E-2</v>
      </c>
      <c r="D211" s="3">
        <v>7.3193709752532393E-2</v>
      </c>
      <c r="E211" s="3">
        <v>1.4941579998198923E-2</v>
      </c>
      <c r="F211" s="3">
        <v>1.0157441198354218E-3</v>
      </c>
      <c r="G211" s="3">
        <v>4.8749712752344252E-3</v>
      </c>
      <c r="H211" s="3">
        <f>(Sheet1!$Y$19*' Rolling-window portfolio analy'!B211+Sheet1!$Z$19*' Rolling-window portfolio analy'!C211+Sheet1!$AA$19*' Rolling-window portfolio analy'!D211+Sheet1!$AB$19*' Rolling-window portfolio analy'!E211+Sheet1!$AC$19*' Rolling-window portfolio analy'!F211)</f>
        <v>3.7885576007190891E-2</v>
      </c>
      <c r="I211" s="6">
        <f t="shared" si="4"/>
        <v>1.6148576768253471</v>
      </c>
      <c r="J211" s="86">
        <f t="shared" si="5"/>
        <v>5.5517750560377024E-4</v>
      </c>
    </row>
    <row r="212" spans="1:10" x14ac:dyDescent="0.3">
      <c r="A212" s="2">
        <v>45727</v>
      </c>
      <c r="B212" s="3">
        <v>-2.9623865022754978E-2</v>
      </c>
      <c r="C212" s="3">
        <v>1.650171866116593E-2</v>
      </c>
      <c r="D212" s="3">
        <v>3.7245044422890027E-2</v>
      </c>
      <c r="E212" s="3">
        <v>1.662488596963559E-2</v>
      </c>
      <c r="F212" s="3">
        <v>-3.756466264994867E-2</v>
      </c>
      <c r="G212" s="3">
        <v>-7.596604935651537E-3</v>
      </c>
      <c r="H212" s="3">
        <f>(Sheet1!$Y$19*' Rolling-window portfolio analy'!B212+Sheet1!$Z$19*' Rolling-window portfolio analy'!C212+Sheet1!$AA$19*' Rolling-window portfolio analy'!D212+Sheet1!$AB$19*' Rolling-window portfolio analy'!E212+Sheet1!$AC$19*' Rolling-window portfolio analy'!F212)</f>
        <v>5.0803947691978185E-3</v>
      </c>
      <c r="I212" s="6">
        <f t="shared" si="4"/>
        <v>1.607407412722746</v>
      </c>
      <c r="J212" s="86">
        <f t="shared" si="5"/>
        <v>9.1333007106944608E-4</v>
      </c>
    </row>
    <row r="213" spans="1:10" x14ac:dyDescent="0.3">
      <c r="A213" s="2">
        <v>45726</v>
      </c>
      <c r="B213" s="3">
        <v>-4.9694073639167571E-2</v>
      </c>
      <c r="C213" s="3">
        <v>-5.1998784861153904E-2</v>
      </c>
      <c r="D213" s="3">
        <v>-0.16754566208266003</v>
      </c>
      <c r="E213" s="3">
        <v>-4.1171787562940383E-2</v>
      </c>
      <c r="F213" s="3">
        <v>-1.9706662611110246E-2</v>
      </c>
      <c r="G213" s="3">
        <v>-2.7343518375984407E-2</v>
      </c>
      <c r="H213" s="3">
        <f>(Sheet1!$Y$19*' Rolling-window portfolio analy'!B213+Sheet1!$Z$19*' Rolling-window portfolio analy'!C213+Sheet1!$AA$19*' Rolling-window portfolio analy'!D213+Sheet1!$AB$19*' Rolling-window portfolio analy'!E213+Sheet1!$AC$19*' Rolling-window portfolio analy'!F213)</f>
        <v>-5.0608147283718645E-2</v>
      </c>
      <c r="I213" s="6">
        <f t="shared" si="4"/>
        <v>1.6161519008799099</v>
      </c>
      <c r="J213" s="86">
        <f t="shared" si="5"/>
        <v>7.6769683189918236E-4</v>
      </c>
    </row>
    <row r="214" spans="1:10" x14ac:dyDescent="0.3">
      <c r="A214" s="2">
        <v>45723</v>
      </c>
      <c r="B214" s="3">
        <v>1.5767611658897701E-2</v>
      </c>
      <c r="C214" s="3">
        <v>1.8991881409947647E-2</v>
      </c>
      <c r="D214" s="3">
        <v>-2.9651051907172263E-3</v>
      </c>
      <c r="E214" s="3">
        <v>2.33528716006971E-2</v>
      </c>
      <c r="F214" s="3">
        <v>1.0612738296352363E-2</v>
      </c>
      <c r="G214" s="3">
        <v>5.5054046005090125E-3</v>
      </c>
      <c r="H214" s="3">
        <f>(Sheet1!$Y$19*' Rolling-window portfolio analy'!B214+Sheet1!$Z$19*' Rolling-window portfolio analy'!C214+Sheet1!$AA$19*' Rolling-window portfolio analy'!D214+Sheet1!$AB$19*' Rolling-window portfolio analy'!E214+Sheet1!$AC$19*' Rolling-window portfolio analy'!F214)</f>
        <v>1.8563925880094371E-2</v>
      </c>
      <c r="I214" s="6">
        <f t="shared" si="4"/>
        <v>1.6157136061248436</v>
      </c>
      <c r="J214" s="86">
        <f t="shared" si="5"/>
        <v>7.424064735306313E-4</v>
      </c>
    </row>
    <row r="215" spans="1:10" x14ac:dyDescent="0.3">
      <c r="A215" s="2">
        <v>45722</v>
      </c>
      <c r="B215" s="3">
        <v>-1.740718379554715E-3</v>
      </c>
      <c r="C215" s="3">
        <v>-5.9085951105119362E-2</v>
      </c>
      <c r="D215" s="3">
        <v>-5.7706543886981869E-2</v>
      </c>
      <c r="E215" s="3">
        <v>-9.9739606219519349E-3</v>
      </c>
      <c r="F215" s="3">
        <v>3.2336297775704053E-4</v>
      </c>
      <c r="G215" s="3">
        <v>-1.7979700568310077E-2</v>
      </c>
      <c r="H215" s="3">
        <f>(Sheet1!$Y$19*' Rolling-window portfolio analy'!B215+Sheet1!$Z$19*' Rolling-window portfolio analy'!C215+Sheet1!$AA$19*' Rolling-window portfolio analy'!D215+Sheet1!$AB$19*' Rolling-window portfolio analy'!E215+Sheet1!$AC$19*' Rolling-window portfolio analy'!F215)</f>
        <v>-4.0163887249175134E-2</v>
      </c>
      <c r="I215" s="6">
        <f t="shared" si="4"/>
        <v>1.6236852171764398</v>
      </c>
      <c r="J215" s="86">
        <f t="shared" si="5"/>
        <v>4.5830176887868591E-4</v>
      </c>
    </row>
    <row r="216" spans="1:10" x14ac:dyDescent="0.3">
      <c r="A216" s="2">
        <v>45721</v>
      </c>
      <c r="B216" s="3">
        <v>-8.0564806019855866E-4</v>
      </c>
      <c r="C216" s="3">
        <v>1.1230775165644994E-2</v>
      </c>
      <c r="D216" s="3">
        <v>2.5621026234838508E-2</v>
      </c>
      <c r="E216" s="3">
        <v>-1.2679202495387011E-2</v>
      </c>
      <c r="F216" s="3">
        <v>-9.0148710962154269E-3</v>
      </c>
      <c r="G216" s="3">
        <v>1.1097475685101249E-2</v>
      </c>
      <c r="H216" s="3">
        <f>(Sheet1!$Y$19*' Rolling-window portfolio analy'!B216+Sheet1!$Z$19*' Rolling-window portfolio analy'!C216+Sheet1!$AA$19*' Rolling-window portfolio analy'!D216+Sheet1!$AB$19*' Rolling-window portfolio analy'!E216+Sheet1!$AC$19*' Rolling-window portfolio analy'!F216)</f>
        <v>5.9955063544439207E-3</v>
      </c>
      <c r="I216" s="6">
        <f t="shared" si="4"/>
        <v>1.6178677917630624</v>
      </c>
      <c r="J216" s="86">
        <f t="shared" si="5"/>
        <v>5.7557879758959505E-4</v>
      </c>
    </row>
    <row r="217" spans="1:10" x14ac:dyDescent="0.3">
      <c r="A217" s="2">
        <v>45720</v>
      </c>
      <c r="B217" s="3">
        <v>-8.8615652893341244E-3</v>
      </c>
      <c r="C217" s="3">
        <v>1.6779354765391951E-2</v>
      </c>
      <c r="D217" s="3">
        <v>-4.5311241089652829E-2</v>
      </c>
      <c r="E217" s="3">
        <v>-1.711816030955772E-2</v>
      </c>
      <c r="F217" s="3">
        <v>-2.3127911911253997E-2</v>
      </c>
      <c r="G217" s="3">
        <v>-1.2310234603366469E-2</v>
      </c>
      <c r="H217" s="3">
        <f>(Sheet1!$Y$19*' Rolling-window portfolio analy'!B217+Sheet1!$Z$19*' Rolling-window portfolio analy'!C217+Sheet1!$AA$19*' Rolling-window portfolio analy'!D217+Sheet1!$AB$19*' Rolling-window portfolio analy'!E217+Sheet1!$AC$19*' Rolling-window portfolio analy'!F217)</f>
        <v>7.0747492691057923E-3</v>
      </c>
      <c r="I217" s="6">
        <f t="shared" si="4"/>
        <v>1.602013247494708</v>
      </c>
      <c r="J217" s="86">
        <f t="shared" si="5"/>
        <v>7.6428554442092508E-4</v>
      </c>
    </row>
    <row r="218" spans="1:10" x14ac:dyDescent="0.3">
      <c r="A218" s="2">
        <v>45719</v>
      </c>
      <c r="B218" s="3">
        <v>-1.5879634323246551E-2</v>
      </c>
      <c r="C218" s="3">
        <v>-9.0948906686485087E-2</v>
      </c>
      <c r="D218" s="3">
        <v>-2.8843991904533108E-2</v>
      </c>
      <c r="E218" s="3">
        <v>-2.2452468284396714E-2</v>
      </c>
      <c r="F218" s="3">
        <v>-2.502347255081042E-3</v>
      </c>
      <c r="G218" s="3">
        <v>-1.7753439375493379E-2</v>
      </c>
      <c r="H218" s="3">
        <f>(Sheet1!$Y$19*' Rolling-window portfolio analy'!B218+Sheet1!$Z$19*' Rolling-window portfolio analy'!C218+Sheet1!$AA$19*' Rolling-window portfolio analy'!D218+Sheet1!$AB$19*' Rolling-window portfolio analy'!E218+Sheet1!$AC$19*' Rolling-window portfolio analy'!F218)</f>
        <v>-6.5670223758018384E-2</v>
      </c>
      <c r="I218" s="6">
        <f t="shared" si="4"/>
        <v>1.6298623911817411</v>
      </c>
      <c r="J218" s="86">
        <f t="shared" si="5"/>
        <v>7.7066489534586381E-5</v>
      </c>
    </row>
    <row r="219" spans="1:10" x14ac:dyDescent="0.3">
      <c r="A219" s="2">
        <v>45716</v>
      </c>
      <c r="B219" s="3">
        <v>1.8951187029484631E-2</v>
      </c>
      <c r="C219" s="3">
        <v>3.893257023239987E-2</v>
      </c>
      <c r="D219" s="3">
        <v>3.8374597048432775E-2</v>
      </c>
      <c r="E219" s="3">
        <v>2.2911289122911637E-2</v>
      </c>
      <c r="F219" s="3">
        <v>0</v>
      </c>
      <c r="G219" s="3">
        <v>1.5729750431897126E-2</v>
      </c>
      <c r="H219" s="3">
        <f>(Sheet1!$Y$19*' Rolling-window portfolio analy'!B219+Sheet1!$Z$19*' Rolling-window portfolio analy'!C219+Sheet1!$AA$19*' Rolling-window portfolio analy'!D219+Sheet1!$AB$19*' Rolling-window portfolio analy'!E219+Sheet1!$AC$19*' Rolling-window portfolio analy'!F219)</f>
        <v>3.2442744792985437E-2</v>
      </c>
      <c r="I219" s="6">
        <f t="shared" si="4"/>
        <v>1.6381994564869335</v>
      </c>
      <c r="J219" s="86">
        <f t="shared" si="5"/>
        <v>2.7247436880009662E-4</v>
      </c>
    </row>
    <row r="220" spans="1:10" x14ac:dyDescent="0.3">
      <c r="A220" s="2">
        <v>45715</v>
      </c>
      <c r="B220" s="3">
        <v>-1.2812636024009335E-2</v>
      </c>
      <c r="C220" s="3">
        <v>-8.8591484599357465E-2</v>
      </c>
      <c r="D220" s="3">
        <v>-3.0905995406173285E-2</v>
      </c>
      <c r="E220" s="3">
        <v>1.6075327838851444E-3</v>
      </c>
      <c r="F220" s="3">
        <v>9.3764657596343232E-4</v>
      </c>
      <c r="G220" s="3">
        <v>-1.5991702852089028E-2</v>
      </c>
      <c r="H220" s="3">
        <f>(Sheet1!$Y$19*' Rolling-window portfolio analy'!B220+Sheet1!$Z$19*' Rolling-window portfolio analy'!C220+Sheet1!$AA$19*' Rolling-window portfolio analy'!D220+Sheet1!$AB$19*' Rolling-window portfolio analy'!E220+Sheet1!$AC$19*' Rolling-window portfolio analy'!F220)</f>
        <v>-6.1085634405812037E-2</v>
      </c>
      <c r="I220" s="6">
        <f t="shared" si="4"/>
        <v>1.6592935623029086</v>
      </c>
      <c r="J220" s="86">
        <f t="shared" si="5"/>
        <v>-2.3438301708655028E-4</v>
      </c>
    </row>
    <row r="221" spans="1:10" x14ac:dyDescent="0.3">
      <c r="A221" s="2">
        <v>45714</v>
      </c>
      <c r="B221" s="3">
        <v>-2.7412467370684025E-2</v>
      </c>
      <c r="C221" s="3">
        <v>3.6062998319318362E-2</v>
      </c>
      <c r="D221" s="3">
        <v>-4.0436775903929467E-2</v>
      </c>
      <c r="E221" s="3">
        <v>-1.2107515121890513E-2</v>
      </c>
      <c r="F221" s="3">
        <v>-3.4337477159573936E-3</v>
      </c>
      <c r="G221" s="3">
        <v>1.3600519191397061E-4</v>
      </c>
      <c r="H221" s="3">
        <f>(Sheet1!$Y$19*' Rolling-window portfolio analy'!B221+Sheet1!$Z$19*' Rolling-window portfolio analy'!C221+Sheet1!$AA$19*' Rolling-window portfolio analy'!D221+Sheet1!$AB$19*' Rolling-window portfolio analy'!E221+Sheet1!$AC$19*' Rolling-window portfolio analy'!F221)</f>
        <v>1.556951960785821E-2</v>
      </c>
      <c r="I221" s="6">
        <f t="shared" si="4"/>
        <v>1.6596045454403141</v>
      </c>
      <c r="J221" s="86">
        <f t="shared" si="5"/>
        <v>-5.8729910601776261E-5</v>
      </c>
    </row>
    <row r="222" spans="1:10" x14ac:dyDescent="0.3">
      <c r="A222" s="2">
        <v>45713</v>
      </c>
      <c r="B222" s="3">
        <v>-2.4284615815310331E-4</v>
      </c>
      <c r="C222" s="3">
        <v>-2.8416531945515723E-2</v>
      </c>
      <c r="D222" s="3">
        <v>-8.7624905167203629E-2</v>
      </c>
      <c r="E222" s="3">
        <v>-1.3083877149907188E-2</v>
      </c>
      <c r="F222" s="3">
        <v>8.7637493607129208E-3</v>
      </c>
      <c r="G222" s="3">
        <v>-4.690715138395557E-3</v>
      </c>
      <c r="H222" s="3">
        <f>(Sheet1!$Y$19*' Rolling-window portfolio analy'!B222+Sheet1!$Z$19*' Rolling-window portfolio analy'!C222+Sheet1!$AA$19*' Rolling-window portfolio analy'!D222+Sheet1!$AB$19*' Rolling-window portfolio analy'!E222+Sheet1!$AC$19*' Rolling-window portfolio analy'!F222)</f>
        <v>-2.0063143018475036E-2</v>
      </c>
      <c r="I222" s="6">
        <f t="shared" si="4"/>
        <v>1.6663574367396647</v>
      </c>
      <c r="J222" s="86">
        <f t="shared" si="5"/>
        <v>-3.7290216155043372E-4</v>
      </c>
    </row>
    <row r="223" spans="1:10" x14ac:dyDescent="0.3">
      <c r="A223" s="2">
        <v>45712</v>
      </c>
      <c r="B223" s="3">
        <v>6.2925205093107527E-3</v>
      </c>
      <c r="C223" s="3">
        <v>-3.1357637058128648E-2</v>
      </c>
      <c r="D223" s="3">
        <v>-2.175657764320232E-2</v>
      </c>
      <c r="E223" s="3">
        <v>-2.2164027851855499E-2</v>
      </c>
      <c r="F223" s="3">
        <v>-1.528652446755809E-2</v>
      </c>
      <c r="G223" s="3">
        <v>-4.9815130548550111E-3</v>
      </c>
      <c r="H223" s="3">
        <f>(Sheet1!$Y$19*' Rolling-window portfolio analy'!B223+Sheet1!$Z$19*' Rolling-window portfolio analy'!C223+Sheet1!$AA$19*' Rolling-window portfolio analy'!D223+Sheet1!$AB$19*' Rolling-window portfolio analy'!E223+Sheet1!$AC$19*' Rolling-window portfolio analy'!F223)</f>
        <v>-2.1105172767171436E-2</v>
      </c>
      <c r="I223" s="6">
        <f t="shared" si="4"/>
        <v>1.6683980127516032</v>
      </c>
      <c r="J223" s="86">
        <f t="shared" si="5"/>
        <v>-5.3538386611244712E-4</v>
      </c>
    </row>
    <row r="224" spans="1:10" x14ac:dyDescent="0.3">
      <c r="A224" s="2">
        <v>45709</v>
      </c>
      <c r="B224" s="3">
        <v>-1.1396476466492649E-3</v>
      </c>
      <c r="C224" s="3">
        <v>-4.1384210916978727E-2</v>
      </c>
      <c r="D224" s="3">
        <v>-4.7972214357226095E-2</v>
      </c>
      <c r="E224" s="3">
        <v>-2.7884655484124637E-2</v>
      </c>
      <c r="F224" s="3">
        <v>-4.9413318578344348E-3</v>
      </c>
      <c r="G224" s="3">
        <v>-1.7211373991262081E-2</v>
      </c>
      <c r="H224" s="3">
        <f>(Sheet1!$Y$19*' Rolling-window portfolio analy'!B224+Sheet1!$Z$19*' Rolling-window portfolio analy'!C224+Sheet1!$AA$19*' Rolling-window portfolio analy'!D224+Sheet1!$AB$19*' Rolling-window portfolio analy'!E224+Sheet1!$AC$19*' Rolling-window portfolio analy'!F224)</f>
        <v>-3.0107458968577971E-2</v>
      </c>
      <c r="I224" s="6">
        <f t="shared" si="4"/>
        <v>1.6690447787307086</v>
      </c>
      <c r="J224" s="86">
        <f t="shared" si="5"/>
        <v>-5.0291707180319671E-4</v>
      </c>
    </row>
    <row r="225" spans="1:10" x14ac:dyDescent="0.3">
      <c r="A225" s="2">
        <v>45708</v>
      </c>
      <c r="B225" s="3">
        <v>3.9127826565687213E-3</v>
      </c>
      <c r="C225" s="3">
        <v>6.3005864619461423E-3</v>
      </c>
      <c r="D225" s="3">
        <v>-1.7232159651467047E-2</v>
      </c>
      <c r="E225" s="3">
        <v>4.2643923887159181E-4</v>
      </c>
      <c r="F225" s="3">
        <v>1.5415449329892947E-3</v>
      </c>
      <c r="G225" s="3">
        <v>-4.3436239711486854E-3</v>
      </c>
      <c r="H225" s="3">
        <f>(Sheet1!$Y$19*' Rolling-window portfolio analy'!B225+Sheet1!$Z$19*' Rolling-window portfolio analy'!C225+Sheet1!$AA$19*' Rolling-window portfolio analy'!D225+Sheet1!$AB$19*' Rolling-window portfolio analy'!E225+Sheet1!$AC$19*' Rolling-window portfolio analy'!F225)</f>
        <v>5.1068747439911195E-3</v>
      </c>
      <c r="I225" s="6">
        <f t="shared" si="4"/>
        <v>1.6696524182423924</v>
      </c>
      <c r="J225" s="86">
        <f t="shared" si="5"/>
        <v>-1.4774394374158931E-4</v>
      </c>
    </row>
    <row r="226" spans="1:10" x14ac:dyDescent="0.3">
      <c r="A226" s="2">
        <v>45707</v>
      </c>
      <c r="B226" s="3">
        <v>1.6348554750960618E-3</v>
      </c>
      <c r="C226" s="3">
        <v>-1.2202564052294857E-3</v>
      </c>
      <c r="D226" s="3">
        <v>1.8050779053296055E-2</v>
      </c>
      <c r="E226" s="3">
        <v>-1.9175461292717062E-3</v>
      </c>
      <c r="F226" s="3">
        <v>-3.7248817951291438E-2</v>
      </c>
      <c r="G226" s="3">
        <v>2.3741775065794562E-3</v>
      </c>
      <c r="H226" s="3">
        <f>(Sheet1!$Y$19*' Rolling-window portfolio analy'!B226+Sheet1!$Z$19*' Rolling-window portfolio analy'!C226+Sheet1!$AA$19*' Rolling-window portfolio analy'!D226+Sheet1!$AB$19*' Rolling-window portfolio analy'!E226+Sheet1!$AC$19*' Rolling-window portfolio analy'!F226)</f>
        <v>-5.4143425961573649E-4</v>
      </c>
      <c r="I226" s="6">
        <f t="shared" si="4"/>
        <v>1.6711437384874426</v>
      </c>
      <c r="J226" s="86">
        <f t="shared" si="5"/>
        <v>-4.3426982387841052E-5</v>
      </c>
    </row>
    <row r="227" spans="1:10" x14ac:dyDescent="0.3">
      <c r="A227" s="2">
        <v>45706</v>
      </c>
      <c r="B227" s="3">
        <v>-5.3162125283384893E-4</v>
      </c>
      <c r="C227" s="3">
        <v>3.953284573615142E-3</v>
      </c>
      <c r="D227" s="3">
        <v>-4.8735922930660761E-3</v>
      </c>
      <c r="E227" s="3">
        <v>1.242251999855711E-2</v>
      </c>
      <c r="F227" s="3">
        <v>8.0585423414647334E-3</v>
      </c>
      <c r="G227" s="3">
        <v>2.4419717448794743E-3</v>
      </c>
      <c r="H227" s="3">
        <f>(Sheet1!$Y$19*' Rolling-window portfolio analy'!B227+Sheet1!$Z$19*' Rolling-window portfolio analy'!C227+Sheet1!$AA$19*' Rolling-window portfolio analy'!D227+Sheet1!$AB$19*' Rolling-window portfolio analy'!E227+Sheet1!$AC$19*' Rolling-window portfolio analy'!F227)</f>
        <v>3.625355902922121E-3</v>
      </c>
      <c r="I227" s="6">
        <f t="shared" si="4"/>
        <v>1.669525821322646</v>
      </c>
      <c r="J227" s="86">
        <f t="shared" si="5"/>
        <v>-4.4425116554995601E-4</v>
      </c>
    </row>
    <row r="228" spans="1:10" x14ac:dyDescent="0.3">
      <c r="A228" s="2">
        <v>45702</v>
      </c>
      <c r="B228" s="3">
        <v>1.2630534273072785E-2</v>
      </c>
      <c r="C228" s="3">
        <v>2.5973591137539755E-2</v>
      </c>
      <c r="D228" s="3">
        <v>-2.8098569967676025E-4</v>
      </c>
      <c r="E228" s="3">
        <v>5.4024982833483417E-3</v>
      </c>
      <c r="F228" s="3">
        <v>8.124010380265256E-3</v>
      </c>
      <c r="G228" s="3">
        <v>-7.1955976056534599E-5</v>
      </c>
      <c r="H228" s="3">
        <f>(Sheet1!$Y$19*' Rolling-window portfolio analy'!B228+Sheet1!$Z$19*' Rolling-window portfolio analy'!C228+Sheet1!$AA$19*' Rolling-window portfolio analy'!D228+Sheet1!$AB$19*' Rolling-window portfolio analy'!E228+Sheet1!$AC$19*' Rolling-window portfolio analy'!F228)</f>
        <v>2.0656398541109382E-2</v>
      </c>
      <c r="I228" s="6">
        <f t="shared" si="4"/>
        <v>1.6609725399357873</v>
      </c>
      <c r="J228" s="86">
        <f t="shared" si="5"/>
        <v>-5.6956209509768669E-4</v>
      </c>
    </row>
    <row r="229" spans="1:10" x14ac:dyDescent="0.3">
      <c r="A229" s="2">
        <v>45701</v>
      </c>
      <c r="B229" s="3">
        <v>1.9482221545508639E-2</v>
      </c>
      <c r="C229" s="3">
        <v>3.1155167779795479E-2</v>
      </c>
      <c r="D229" s="3">
        <v>5.613431099659786E-2</v>
      </c>
      <c r="E229" s="3">
        <v>-5.6179923042232608E-3</v>
      </c>
      <c r="F229" s="3">
        <v>5.4529065741481305E-3</v>
      </c>
      <c r="G229" s="3">
        <v>1.0372377459622351E-2</v>
      </c>
      <c r="H229" s="3">
        <f>(Sheet1!$Y$19*' Rolling-window portfolio analy'!B229+Sheet1!$Z$19*' Rolling-window portfolio analy'!C229+Sheet1!$AA$19*' Rolling-window portfolio analy'!D229+Sheet1!$AB$19*' Rolling-window portfolio analy'!E229+Sheet1!$AC$19*' Rolling-window portfolio analy'!F229)</f>
        <v>2.4809282188807926E-2</v>
      </c>
      <c r="I229" s="6">
        <f t="shared" si="4"/>
        <v>1.6648584929676773</v>
      </c>
      <c r="J229" s="86">
        <f t="shared" si="5"/>
        <v>-4.2817839312967072E-4</v>
      </c>
    </row>
    <row r="230" spans="1:10" x14ac:dyDescent="0.3">
      <c r="A230" s="2">
        <v>45700</v>
      </c>
      <c r="B230" s="3">
        <v>1.810524652359782E-2</v>
      </c>
      <c r="C230" s="3">
        <v>-1.2578782206860298E-2</v>
      </c>
      <c r="D230" s="3">
        <v>2.4091028400576399E-2</v>
      </c>
      <c r="E230" s="3">
        <v>-1.4970339458865356E-2</v>
      </c>
      <c r="F230" s="3">
        <v>-5.7549757502857474E-3</v>
      </c>
      <c r="G230" s="3">
        <v>-2.7276186894511618E-3</v>
      </c>
      <c r="H230" s="3">
        <f>(Sheet1!$Y$19*' Rolling-window portfolio analy'!B230+Sheet1!$Z$19*' Rolling-window portfolio analy'!C230+Sheet1!$AA$19*' Rolling-window portfolio analy'!D230+Sheet1!$AB$19*' Rolling-window portfolio analy'!E230+Sheet1!$AC$19*' Rolling-window portfolio analy'!F230)</f>
        <v>-5.1085575102469121E-3</v>
      </c>
      <c r="I230" s="6">
        <f t="shared" si="4"/>
        <v>1.6648660468255021</v>
      </c>
      <c r="J230" s="86">
        <f t="shared" si="5"/>
        <v>-4.2383456610840808E-4</v>
      </c>
    </row>
    <row r="231" spans="1:10" x14ac:dyDescent="0.3">
      <c r="A231" s="2">
        <v>45699</v>
      </c>
      <c r="B231" s="3">
        <v>2.1596859130101596E-2</v>
      </c>
      <c r="C231" s="3">
        <v>-5.7814479466803586E-3</v>
      </c>
      <c r="D231" s="3">
        <v>-6.5479858762172063E-2</v>
      </c>
      <c r="E231" s="3">
        <v>-6.3478842020771075E-3</v>
      </c>
      <c r="F231" s="3">
        <v>9.0648140366441201E-4</v>
      </c>
      <c r="G231" s="3">
        <v>3.3951548500248807E-4</v>
      </c>
      <c r="H231" s="3">
        <f>(Sheet1!$Y$19*' Rolling-window portfolio analy'!B231+Sheet1!$Z$19*' Rolling-window portfolio analy'!C231+Sheet1!$AA$19*' Rolling-window portfolio analy'!D231+Sheet1!$AB$19*' Rolling-window portfolio analy'!E231+Sheet1!$AC$19*' Rolling-window portfolio analy'!F231)</f>
        <v>8.6505494783378962E-4</v>
      </c>
      <c r="I231" s="6">
        <f t="shared" si="4"/>
        <v>1.6666657414256572</v>
      </c>
      <c r="J231" s="86">
        <f t="shared" si="5"/>
        <v>-3.0912507920612771E-4</v>
      </c>
    </row>
    <row r="232" spans="1:10" x14ac:dyDescent="0.3">
      <c r="A232" s="2">
        <v>45698</v>
      </c>
      <c r="B232" s="3">
        <v>8.7858021493861051E-5</v>
      </c>
      <c r="C232" s="3">
        <v>2.8322761782678136E-2</v>
      </c>
      <c r="D232" s="3">
        <v>-3.0577240036170499E-2</v>
      </c>
      <c r="E232" s="3">
        <v>2.5853378826333706E-2</v>
      </c>
      <c r="F232" s="3">
        <v>1.4923377306020164E-2</v>
      </c>
      <c r="G232" s="3">
        <v>6.6901608481496353E-3</v>
      </c>
      <c r="H232" s="3">
        <f>(Sheet1!$Y$19*' Rolling-window portfolio analy'!B232+Sheet1!$Z$19*' Rolling-window portfolio analy'!C232+Sheet1!$AA$19*' Rolling-window portfolio analy'!D232+Sheet1!$AB$19*' Rolling-window portfolio analy'!E232+Sheet1!$AC$19*' Rolling-window portfolio analy'!F232)</f>
        <v>2.0960161048492992E-2</v>
      </c>
      <c r="I232" s="6">
        <f t="shared" si="4"/>
        <v>1.6677069129016409</v>
      </c>
      <c r="J232" s="86">
        <f t="shared" si="5"/>
        <v>-3.0558047439174394E-4</v>
      </c>
    </row>
    <row r="233" spans="1:10" x14ac:dyDescent="0.3">
      <c r="A233" s="2">
        <v>45695</v>
      </c>
      <c r="B233" s="3">
        <v>-2.4260710332889599E-2</v>
      </c>
      <c r="C233" s="3">
        <v>8.974220835510088E-3</v>
      </c>
      <c r="D233" s="3">
        <v>-3.4517109834953111E-2</v>
      </c>
      <c r="E233" s="3">
        <v>-1.6742181143073409E-2</v>
      </c>
      <c r="F233" s="3">
        <v>-4.5920790935186709E-3</v>
      </c>
      <c r="G233" s="3">
        <v>-9.5099134821077444E-3</v>
      </c>
      <c r="H233" s="3">
        <f>(Sheet1!$Y$19*' Rolling-window portfolio analy'!B233+Sheet1!$Z$19*' Rolling-window portfolio analy'!C233+Sheet1!$AA$19*' Rolling-window portfolio analy'!D233+Sheet1!$AB$19*' Rolling-window portfolio analy'!E233+Sheet1!$AC$19*' Rolling-window portfolio analy'!F233)</f>
        <v>-1.8090833482430663E-3</v>
      </c>
      <c r="I233" s="6">
        <f t="shared" si="4"/>
        <v>1.6654773211607239</v>
      </c>
      <c r="J233" s="86">
        <f t="shared" si="5"/>
        <v>-2.3870387837265613E-4</v>
      </c>
    </row>
    <row r="234" spans="1:10" x14ac:dyDescent="0.3">
      <c r="A234" s="2">
        <v>45694</v>
      </c>
      <c r="B234" s="3">
        <v>3.2210296482183117E-3</v>
      </c>
      <c r="C234" s="3">
        <v>3.0375890707866154E-2</v>
      </c>
      <c r="D234" s="3">
        <v>-1.0232783410686183E-2</v>
      </c>
      <c r="E234" s="3">
        <v>-3.9032399258025076E-2</v>
      </c>
      <c r="F234" s="3">
        <v>-4.2669982449902895E-3</v>
      </c>
      <c r="G234" s="3">
        <v>3.637700027498819E-3</v>
      </c>
      <c r="H234" s="3">
        <f>(Sheet1!$Y$19*' Rolling-window portfolio analy'!B234+Sheet1!$Z$19*' Rolling-window portfolio analy'!C234+Sheet1!$AA$19*' Rolling-window portfolio analy'!D234+Sheet1!$AB$19*' Rolling-window portfolio analy'!E234+Sheet1!$AC$19*' Rolling-window portfolio analy'!F234)</f>
        <v>1.6965175521545844E-2</v>
      </c>
      <c r="I234" s="6">
        <f t="shared" si="4"/>
        <v>1.6672990023124177</v>
      </c>
      <c r="J234" s="86">
        <f t="shared" si="5"/>
        <v>-1.9205497069987171E-5</v>
      </c>
    </row>
    <row r="235" spans="1:10" x14ac:dyDescent="0.3">
      <c r="A235" s="2">
        <v>45693</v>
      </c>
      <c r="B235" s="3">
        <v>-1.4185314133143574E-3</v>
      </c>
      <c r="C235" s="3">
        <v>5.0774828781187074E-2</v>
      </c>
      <c r="D235" s="3">
        <v>-3.6453580663859418E-2</v>
      </c>
      <c r="E235" s="3">
        <v>1.8387048329478354E-2</v>
      </c>
      <c r="F235" s="3">
        <v>3.0418251185130603E-4</v>
      </c>
      <c r="G235" s="3">
        <v>3.9010377290886913E-3</v>
      </c>
      <c r="H235" s="3">
        <f>(Sheet1!$Y$19*' Rolling-window portfolio analy'!B235+Sheet1!$Z$19*' Rolling-window portfolio analy'!C235+Sheet1!$AA$19*' Rolling-window portfolio analy'!D235+Sheet1!$AB$19*' Rolling-window portfolio analy'!E235+Sheet1!$AC$19*' Rolling-window portfolio analy'!F235)</f>
        <v>3.4564716950153798E-2</v>
      </c>
      <c r="I235" s="6">
        <f t="shared" si="4"/>
        <v>1.6832514233042455</v>
      </c>
      <c r="J235" s="86">
        <f t="shared" si="5"/>
        <v>7.160126807277665E-4</v>
      </c>
    </row>
    <row r="236" spans="1:10" x14ac:dyDescent="0.3">
      <c r="A236" s="2">
        <v>45692</v>
      </c>
      <c r="B236" s="3">
        <v>2.0790228215525564E-2</v>
      </c>
      <c r="C236" s="3">
        <v>1.6914261556281014E-2</v>
      </c>
      <c r="D236" s="3">
        <v>2.1988538793356979E-2</v>
      </c>
      <c r="E236" s="3">
        <v>1.1745101458282673E-2</v>
      </c>
      <c r="F236" s="3">
        <v>1.101265336031404E-2</v>
      </c>
      <c r="G236" s="3">
        <v>7.1988974883324779E-3</v>
      </c>
      <c r="H236" s="3">
        <f>(Sheet1!$Y$19*' Rolling-window portfolio analy'!B236+Sheet1!$Z$19*' Rolling-window portfolio analy'!C236+Sheet1!$AA$19*' Rolling-window portfolio analy'!D236+Sheet1!$AB$19*' Rolling-window portfolio analy'!E236+Sheet1!$AC$19*' Rolling-window portfolio analy'!F236)</f>
        <v>1.739699906453445E-2</v>
      </c>
      <c r="I236" s="6">
        <f t="shared" si="4"/>
        <v>1.6824275562231488</v>
      </c>
      <c r="J236" s="86">
        <f t="shared" si="5"/>
        <v>6.6215206896144707E-4</v>
      </c>
    </row>
    <row r="237" spans="1:10" x14ac:dyDescent="0.3">
      <c r="A237" s="2">
        <v>45691</v>
      </c>
      <c r="B237" s="3">
        <v>-3.4442317383852845E-2</v>
      </c>
      <c r="C237" s="3">
        <v>-2.8811184717135074E-2</v>
      </c>
      <c r="D237" s="3">
        <v>-5.3090052894495664E-2</v>
      </c>
      <c r="E237" s="3">
        <v>2.6075424774681385E-2</v>
      </c>
      <c r="F237" s="3">
        <v>-1.1012653360314036E-2</v>
      </c>
      <c r="G237" s="3">
        <v>-7.637696973119063E-3</v>
      </c>
      <c r="H237" s="3">
        <f>(Sheet1!$Y$19*' Rolling-window portfolio analy'!B237+Sheet1!$Z$19*' Rolling-window portfolio analy'!C237+Sheet1!$AA$19*' Rolling-window portfolio analy'!D237+Sheet1!$AB$19*' Rolling-window portfolio analy'!E237+Sheet1!$AC$19*' Rolling-window portfolio analy'!F237)</f>
        <v>-2.5048996093964802E-2</v>
      </c>
      <c r="I237" s="6">
        <f t="shared" si="4"/>
        <v>1.686236191582797</v>
      </c>
      <c r="J237" s="86">
        <f t="shared" si="5"/>
        <v>5.1503473933404683E-4</v>
      </c>
    </row>
    <row r="238" spans="1:10" x14ac:dyDescent="0.3">
      <c r="A238" s="2">
        <v>45688</v>
      </c>
      <c r="B238" s="3">
        <v>-6.714694035086833E-3</v>
      </c>
      <c r="C238" s="3">
        <v>-3.743490392694037E-2</v>
      </c>
      <c r="D238" s="3">
        <v>1.0734622511389938E-2</v>
      </c>
      <c r="E238" s="3">
        <v>3.4812944900330864E-2</v>
      </c>
      <c r="F238" s="3">
        <v>3.0427506700587059E-4</v>
      </c>
      <c r="G238" s="3">
        <v>-5.0595812914254659E-3</v>
      </c>
      <c r="H238" s="3">
        <f>(Sheet1!$Y$19*' Rolling-window portfolio analy'!B238+Sheet1!$Z$19*' Rolling-window portfolio analy'!C238+Sheet1!$AA$19*' Rolling-window portfolio analy'!D238+Sheet1!$AB$19*' Rolling-window portfolio analy'!E238+Sheet1!$AC$19*' Rolling-window portfolio analy'!F238)</f>
        <v>-2.2854472988455381E-2</v>
      </c>
      <c r="I238" s="6">
        <f t="shared" si="4"/>
        <v>1.6908731225170934</v>
      </c>
      <c r="J238" s="86">
        <f t="shared" si="5"/>
        <v>4.0885325897416528E-4</v>
      </c>
    </row>
    <row r="239" spans="1:10" x14ac:dyDescent="0.3">
      <c r="A239" s="2">
        <v>45687</v>
      </c>
      <c r="B239" s="3">
        <v>-7.4221957254156003E-3</v>
      </c>
      <c r="C239" s="3">
        <v>7.6505305711246667E-3</v>
      </c>
      <c r="D239" s="3">
        <v>2.8327922231747241E-2</v>
      </c>
      <c r="E239" s="3">
        <v>3.4907159959999254E-2</v>
      </c>
      <c r="F239" s="3">
        <v>-3.6452045223306978E-3</v>
      </c>
      <c r="G239" s="3">
        <v>5.2615707224356184E-3</v>
      </c>
      <c r="H239" s="3">
        <f>(Sheet1!$Y$19*' Rolling-window portfolio analy'!B239+Sheet1!$Z$19*' Rolling-window portfolio analy'!C239+Sheet1!$AA$19*' Rolling-window portfolio analy'!D239+Sheet1!$AB$19*' Rolling-window portfolio analy'!E239+Sheet1!$AC$19*' Rolling-window portfolio analy'!F239)</f>
        <v>6.5252927092707864E-3</v>
      </c>
      <c r="I239" s="6">
        <f t="shared" si="4"/>
        <v>1.6914200265673511</v>
      </c>
      <c r="J239" s="86">
        <f t="shared" si="5"/>
        <v>6.0805313627210113E-4</v>
      </c>
    </row>
    <row r="240" spans="1:10" x14ac:dyDescent="0.3">
      <c r="A240" s="2">
        <v>45686</v>
      </c>
      <c r="B240" s="3">
        <v>4.6061804148975023E-3</v>
      </c>
      <c r="C240" s="3">
        <v>-4.1875602578602553E-2</v>
      </c>
      <c r="D240" s="3">
        <v>-2.2841730383513555E-2</v>
      </c>
      <c r="E240" s="3">
        <v>-4.8639354722069036E-3</v>
      </c>
      <c r="F240" s="3">
        <v>9.1380471396506104E-3</v>
      </c>
      <c r="G240" s="3">
        <v>-4.6898535700948913E-3</v>
      </c>
      <c r="H240" s="3">
        <f>(Sheet1!$Y$19*' Rolling-window portfolio analy'!B240+Sheet1!$Z$19*' Rolling-window portfolio analy'!C240+Sheet1!$AA$19*' Rolling-window portfolio analy'!D240+Sheet1!$AB$19*' Rolling-window portfolio analy'!E240+Sheet1!$AC$19*' Rolling-window portfolio analy'!F240)</f>
        <v>-2.6770916506282556E-2</v>
      </c>
      <c r="I240" s="6">
        <f t="shared" si="4"/>
        <v>1.6877200650648592</v>
      </c>
      <c r="J240" s="86">
        <f t="shared" si="5"/>
        <v>1.0720428430440951E-5</v>
      </c>
    </row>
    <row r="241" spans="1:10" x14ac:dyDescent="0.3">
      <c r="A241" s="2">
        <v>45685</v>
      </c>
      <c r="B241" s="3">
        <v>3.5892086430602384E-2</v>
      </c>
      <c r="C241" s="3">
        <v>8.5497254873414752E-2</v>
      </c>
      <c r="D241" s="3">
        <v>2.3640672948804699E-3</v>
      </c>
      <c r="E241" s="3">
        <v>-6.2190687602856213E-3</v>
      </c>
      <c r="F241" s="3">
        <v>-2.8952565112945146E-2</v>
      </c>
      <c r="G241" s="3">
        <v>9.1755762546756169E-3</v>
      </c>
      <c r="H241" s="3">
        <f>(Sheet1!$Y$19*' Rolling-window portfolio analy'!B241+Sheet1!$Z$19*' Rolling-window portfolio analy'!C241+Sheet1!$AA$19*' Rolling-window portfolio analy'!D241+Sheet1!$AB$19*' Rolling-window portfolio analy'!E241+Sheet1!$AC$19*' Rolling-window portfolio analy'!F241)</f>
        <v>6.4310256522537565E-2</v>
      </c>
      <c r="I241" s="6">
        <f t="shared" si="4"/>
        <v>1.7153073205267222</v>
      </c>
      <c r="J241" s="86">
        <f t="shared" si="5"/>
        <v>9.5815681783622923E-4</v>
      </c>
    </row>
    <row r="242" spans="1:10" x14ac:dyDescent="0.3">
      <c r="A242" s="2">
        <v>45684</v>
      </c>
      <c r="B242" s="3">
        <v>3.1285690523568978E-2</v>
      </c>
      <c r="C242" s="3">
        <v>-0.18594612349652748</v>
      </c>
      <c r="D242" s="3">
        <v>-2.3466668513776968E-2</v>
      </c>
      <c r="E242" s="3">
        <v>-4.4900920407455545E-2</v>
      </c>
      <c r="F242" s="3">
        <v>2.8646614368628115E-2</v>
      </c>
      <c r="G242" s="3">
        <v>-1.4687984883634318E-2</v>
      </c>
      <c r="H242" s="3">
        <f>(Sheet1!$Y$19*' Rolling-window portfolio analy'!B242+Sheet1!$Z$19*' Rolling-window portfolio analy'!C242+Sheet1!$AA$19*' Rolling-window portfolio analy'!D242+Sheet1!$AB$19*' Rolling-window portfolio analy'!E242+Sheet1!$AC$19*' Rolling-window portfolio analy'!F242)</f>
        <v>-0.11825001639637261</v>
      </c>
      <c r="I242" s="6">
        <f t="shared" si="4"/>
        <v>1.7692808021205408</v>
      </c>
      <c r="J242" s="86">
        <f t="shared" si="5"/>
        <v>-3.9252605046172923E-4</v>
      </c>
    </row>
    <row r="243" spans="1:10" x14ac:dyDescent="0.3">
      <c r="A243" s="2">
        <v>45681</v>
      </c>
      <c r="B243" s="3">
        <v>-3.9423041829985839E-3</v>
      </c>
      <c r="C243" s="3">
        <v>-3.1744316030402252E-2</v>
      </c>
      <c r="D243" s="3">
        <v>-1.41645427686508E-2</v>
      </c>
      <c r="E243" s="3">
        <v>-2.4120173956821336E-3</v>
      </c>
      <c r="F243" s="3">
        <v>-2.9538012436863985E-2</v>
      </c>
      <c r="G243" s="3">
        <v>-2.8592607828964826E-3</v>
      </c>
      <c r="H243" s="3">
        <f>(Sheet1!$Y$19*' Rolling-window portfolio analy'!B243+Sheet1!$Z$19*' Rolling-window portfolio analy'!C243+Sheet1!$AA$19*' Rolling-window portfolio analy'!D243+Sheet1!$AB$19*' Rolling-window portfolio analy'!E243+Sheet1!$AC$19*' Rolling-window portfolio analy'!F243)</f>
        <v>-2.2016071642613894E-2</v>
      </c>
      <c r="I243" s="6">
        <f t="shared" si="4"/>
        <v>1.7945326960817678</v>
      </c>
      <c r="J243" s="86">
        <f t="shared" si="5"/>
        <v>-2.5184221452936081E-4</v>
      </c>
    </row>
    <row r="244" spans="1:10" x14ac:dyDescent="0.3">
      <c r="A244" s="2">
        <v>45680</v>
      </c>
      <c r="B244" s="3">
        <v>-7.5979355149053557E-4</v>
      </c>
      <c r="C244" s="3">
        <v>1.0194027183375537E-3</v>
      </c>
      <c r="D244" s="3">
        <v>-6.5982909878338734E-3</v>
      </c>
      <c r="E244" s="3">
        <v>-3.2797667970013598E-3</v>
      </c>
      <c r="F244" s="3">
        <v>1.285326318573571E-2</v>
      </c>
      <c r="G244" s="3">
        <v>5.2994450977238887E-3</v>
      </c>
      <c r="H244" s="3">
        <f>(Sheet1!$Y$19*' Rolling-window portfolio analy'!B244+Sheet1!$Z$19*' Rolling-window portfolio analy'!C244+Sheet1!$AA$19*' Rolling-window portfolio analy'!D244+Sheet1!$AB$19*' Rolling-window portfolio analy'!E244+Sheet1!$AC$19*' Rolling-window portfolio analy'!F244)</f>
        <v>1.5530919700778374E-4</v>
      </c>
      <c r="I244" s="6">
        <f t="shared" si="4"/>
        <v>1.7965228313983834</v>
      </c>
      <c r="J244" s="86">
        <f t="shared" si="5"/>
        <v>-4.8350982601550168E-4</v>
      </c>
    </row>
    <row r="245" spans="1:10" x14ac:dyDescent="0.3">
      <c r="A245" s="2">
        <v>45679</v>
      </c>
      <c r="B245" s="3">
        <v>5.3307179338975266E-3</v>
      </c>
      <c r="C245" s="3">
        <v>4.3355174702263348E-2</v>
      </c>
      <c r="D245" s="3">
        <v>-2.1354990595606967E-2</v>
      </c>
      <c r="E245" s="3">
        <v>-2.6495895691720662E-2</v>
      </c>
      <c r="F245" s="3">
        <v>-9.021200431379089E-4</v>
      </c>
      <c r="G245" s="3">
        <v>6.1192005774427091E-3</v>
      </c>
      <c r="H245" s="3">
        <f>(Sheet1!$Y$19*' Rolling-window portfolio analy'!B245+Sheet1!$Z$19*' Rolling-window portfolio analy'!C245+Sheet1!$AA$19*' Rolling-window portfolio analy'!D245+Sheet1!$AB$19*' Rolling-window portfolio analy'!E245+Sheet1!$AC$19*' Rolling-window portfolio analy'!F245)</f>
        <v>2.7155666027143376E-2</v>
      </c>
      <c r="I245" s="6">
        <f t="shared" si="4"/>
        <v>1.8054892623783103</v>
      </c>
      <c r="J245" s="86">
        <f t="shared" si="5"/>
        <v>7.5879875644770285E-5</v>
      </c>
    </row>
    <row r="246" spans="1:10" x14ac:dyDescent="0.3">
      <c r="A246" s="2">
        <v>45678</v>
      </c>
      <c r="B246" s="3">
        <v>-3.2436231402883438E-2</v>
      </c>
      <c r="C246" s="3">
        <v>2.2403464470924412E-2</v>
      </c>
      <c r="D246" s="3">
        <v>-5.7138309867241317E-3</v>
      </c>
      <c r="E246" s="3">
        <v>1.0686145716225733E-2</v>
      </c>
      <c r="F246" s="3">
        <v>1.6364001517296434E-2</v>
      </c>
      <c r="G246" s="3">
        <v>8.7299967522312897E-3</v>
      </c>
      <c r="H246" s="3">
        <f>(Sheet1!$Y$19*' Rolling-window portfolio analy'!B246+Sheet1!$Z$19*' Rolling-window portfolio analy'!C246+Sheet1!$AA$19*' Rolling-window portfolio analy'!D246+Sheet1!$AB$19*' Rolling-window portfolio analy'!E246+Sheet1!$AC$19*' Rolling-window portfolio analy'!F246)</f>
        <v>7.603278720461723E-3</v>
      </c>
      <c r="I246" s="6">
        <f t="shared" si="4"/>
        <v>1.7864059684617206</v>
      </c>
      <c r="J246" s="86">
        <f t="shared" si="5"/>
        <v>1.6545877222008155E-4</v>
      </c>
    </row>
    <row r="247" spans="1:10" x14ac:dyDescent="0.3">
      <c r="A247" s="2">
        <v>45674</v>
      </c>
      <c r="B247" s="3">
        <v>7.5070184950648353E-3</v>
      </c>
      <c r="C247" s="3">
        <v>3.0524339750020613E-2</v>
      </c>
      <c r="D247" s="3">
        <v>3.0181270260479016E-2</v>
      </c>
      <c r="E247" s="3">
        <v>4.5224584455886441E-3</v>
      </c>
      <c r="F247" s="3">
        <v>-7.3059685705506063E-3</v>
      </c>
      <c r="G247" s="3">
        <v>9.9414259357241096E-3</v>
      </c>
      <c r="H247" s="3">
        <f>(Sheet1!$Y$19*' Rolling-window portfolio analy'!B247+Sheet1!$Z$19*' Rolling-window portfolio analy'!C247+Sheet1!$AA$19*' Rolling-window portfolio analy'!D247+Sheet1!$AB$19*' Rolling-window portfolio analy'!E247+Sheet1!$AC$19*' Rolling-window portfolio analy'!F247)</f>
        <v>2.2333151918959501E-2</v>
      </c>
      <c r="I247" s="6">
        <f t="shared" si="4"/>
        <v>1.7888965345600365</v>
      </c>
      <c r="J247" s="86">
        <f t="shared" si="5"/>
        <v>4.1636979874091866E-5</v>
      </c>
    </row>
    <row r="248" spans="1:10" x14ac:dyDescent="0.3">
      <c r="A248" s="2">
        <v>45673</v>
      </c>
      <c r="B248" s="3">
        <v>-4.1238975826963314E-2</v>
      </c>
      <c r="C248" s="3">
        <v>-1.9792351365419E-2</v>
      </c>
      <c r="D248" s="3">
        <v>-3.4205985539776232E-2</v>
      </c>
      <c r="E248" s="3">
        <v>1.3253860501947172E-2</v>
      </c>
      <c r="F248" s="3">
        <v>1.5589494997194399E-2</v>
      </c>
      <c r="G248" s="3">
        <v>-2.1148717634665781E-3</v>
      </c>
      <c r="H248" s="3">
        <f>(Sheet1!$Y$19*' Rolling-window portfolio analy'!B248+Sheet1!$Z$19*' Rolling-window portfolio analy'!C248+Sheet1!$AA$19*' Rolling-window portfolio analy'!D248+Sheet1!$AB$19*' Rolling-window portfolio analy'!E248+Sheet1!$AC$19*' Rolling-window portfolio analy'!F248)</f>
        <v>-2.2017104849209705E-2</v>
      </c>
      <c r="I248" s="6">
        <f t="shared" si="4"/>
        <v>1.7937784245294008</v>
      </c>
      <c r="J248" s="86">
        <f t="shared" si="5"/>
        <v>-8.0848687582265547E-5</v>
      </c>
    </row>
    <row r="249" spans="1:10" x14ac:dyDescent="0.3">
      <c r="A249" s="2">
        <v>45672</v>
      </c>
      <c r="B249" s="3">
        <v>1.9484857132124001E-2</v>
      </c>
      <c r="C249" s="3">
        <v>3.3435950485048091E-2</v>
      </c>
      <c r="D249" s="3">
        <v>7.731419302033242E-2</v>
      </c>
      <c r="E249" s="3">
        <v>1.4319002224053018E-2</v>
      </c>
      <c r="F249" s="3">
        <v>9.9072017770787425E-3</v>
      </c>
      <c r="G249" s="3">
        <v>1.8147132985426716E-2</v>
      </c>
      <c r="H249" s="3">
        <f>(Sheet1!$Y$19*' Rolling-window portfolio analy'!B249+Sheet1!$Z$19*' Rolling-window portfolio analy'!C249+Sheet1!$AA$19*' Rolling-window portfolio analy'!D249+Sheet1!$AB$19*' Rolling-window portfolio analy'!E249+Sheet1!$AC$19*' Rolling-window portfolio analy'!F249)</f>
        <v>2.8232687702730467E-2</v>
      </c>
      <c r="I249" s="6">
        <f t="shared" si="4"/>
        <v>1.788825801633358</v>
      </c>
      <c r="J249" s="86">
        <f t="shared" si="5"/>
        <v>-1.8047374287878323E-4</v>
      </c>
    </row>
    <row r="250" spans="1:10" x14ac:dyDescent="0.3">
      <c r="A250" s="2">
        <v>45671</v>
      </c>
      <c r="B250" s="3">
        <v>-4.7896088825642048E-3</v>
      </c>
      <c r="C250" s="3">
        <v>-1.1094872102735659E-2</v>
      </c>
      <c r="D250" s="3">
        <v>-1.7382607818861549E-2</v>
      </c>
      <c r="E250" s="3">
        <v>5.3392785352088939E-3</v>
      </c>
      <c r="F250" s="3">
        <v>7.8088792874003573E-3</v>
      </c>
      <c r="G250" s="3">
        <v>1.1456334044923633E-3</v>
      </c>
      <c r="H250" s="3">
        <f>(Sheet1!$Y$19*' Rolling-window portfolio analy'!B250+Sheet1!$Z$19*' Rolling-window portfolio analy'!C250+Sheet1!$AA$19*' Rolling-window portfolio analy'!D250+Sheet1!$AB$19*' Rolling-window portfolio analy'!E250+Sheet1!$AC$19*' Rolling-window portfolio analy'!F250)</f>
        <v>-7.9793104301866848E-3</v>
      </c>
      <c r="I250" s="6">
        <f t="shared" si="4"/>
        <v>1.7997759045822446</v>
      </c>
      <c r="J250" s="86">
        <f t="shared" si="5"/>
        <v>-4.4919403358342552E-4</v>
      </c>
    </row>
    <row r="251" spans="1:10" x14ac:dyDescent="0.3">
      <c r="A251" s="2">
        <v>45670</v>
      </c>
      <c r="B251" s="3">
        <v>-1.0397971666903203E-2</v>
      </c>
      <c r="C251" s="3">
        <v>-1.9915943995135368E-2</v>
      </c>
      <c r="D251" s="3">
        <v>2.1478176683598593E-2</v>
      </c>
      <c r="E251" s="3">
        <v>3.5649137642435332E-2</v>
      </c>
      <c r="F251" s="3">
        <v>3.455319913396278E-3</v>
      </c>
      <c r="G251" s="3">
        <v>1.5741742695762329E-3</v>
      </c>
      <c r="H251" s="3">
        <f>(Sheet1!$Y$19*' Rolling-window portfolio analy'!B251+Sheet1!$Z$19*' Rolling-window portfolio analy'!C251+Sheet1!$AA$19*' Rolling-window portfolio analy'!D251+Sheet1!$AB$19*' Rolling-window portfolio analy'!E251+Sheet1!$AC$19*' Rolling-window portfolio analy'!F251)</f>
        <v>-1.220296866430725E-2</v>
      </c>
      <c r="I251" s="6">
        <f t="shared" si="4"/>
        <v>1.8351665353632955</v>
      </c>
      <c r="J251" s="86">
        <f t="shared" si="5"/>
        <v>-5.0600401793461994E-4</v>
      </c>
    </row>
    <row r="252" spans="1:10" x14ac:dyDescent="0.3">
      <c r="A252" s="2">
        <v>45667</v>
      </c>
      <c r="B252" s="3">
        <v>-2.4399083362794845E-2</v>
      </c>
      <c r="C252" s="3">
        <v>-3.0434926415884248E-2</v>
      </c>
      <c r="D252" s="3">
        <v>-5.0653430320193524E-4</v>
      </c>
      <c r="E252" s="3">
        <v>-4.1522551007673074E-3</v>
      </c>
      <c r="F252" s="3">
        <v>-1.3129291441792736E-2</v>
      </c>
      <c r="G252" s="3">
        <v>-1.5531644353894208E-2</v>
      </c>
      <c r="H252" s="3">
        <f>(Sheet1!$Y$19*' Rolling-window portfolio analy'!B252+Sheet1!$Z$19*' Rolling-window portfolio analy'!C252+Sheet1!$AA$19*' Rolling-window portfolio analy'!D252+Sheet1!$AB$19*' Rolling-window portfolio analy'!E252+Sheet1!$AC$19*' Rolling-window portfolio analy'!F252)</f>
        <v>-2.6386442657246725E-2</v>
      </c>
      <c r="I252" s="6">
        <f t="shared" si="4"/>
        <v>1.8387480477776514</v>
      </c>
      <c r="J252" s="86">
        <f t="shared" si="5"/>
        <v>-5.4900714976479498E-4</v>
      </c>
    </row>
    <row r="253" spans="1:10" x14ac:dyDescent="0.3">
      <c r="A253" s="2">
        <v>45665</v>
      </c>
      <c r="B253" s="3">
        <v>2.0209942743203797E-3</v>
      </c>
      <c r="C253" s="3">
        <v>-2.140945592475461E-4</v>
      </c>
      <c r="D253" s="3">
        <v>1.4696569223229571E-3</v>
      </c>
      <c r="E253" s="3">
        <v>9.2123451932084018E-4</v>
      </c>
      <c r="F253" s="3">
        <v>3.1060723964596102E-4</v>
      </c>
      <c r="G253" s="3">
        <v>1.559107735282887E-3</v>
      </c>
      <c r="H253" s="3">
        <f>(Sheet1!$Y$19*' Rolling-window portfolio analy'!B253+Sheet1!$Z$19*' Rolling-window portfolio analy'!C253+Sheet1!$AA$19*' Rolling-window portfolio analy'!D253+Sheet1!$AB$19*' Rolling-window portfolio analy'!E253+Sheet1!$AC$19*' Rolling-window portfolio analy'!F253)</f>
        <v>4.5248501121341477E-4</v>
      </c>
      <c r="I253" s="6">
        <f t="shared" si="4"/>
        <v>1.8378273667280147</v>
      </c>
      <c r="J253" s="86">
        <f t="shared" si="5"/>
        <v>-8.9929905113982338E-4</v>
      </c>
    </row>
    <row r="254" spans="1:10" x14ac:dyDescent="0.3">
      <c r="A254" s="2">
        <v>45664</v>
      </c>
      <c r="B254" s="3">
        <v>-1.1453092086491822E-2</v>
      </c>
      <c r="C254" s="3">
        <v>-6.4186132810914065E-2</v>
      </c>
      <c r="D254" s="3">
        <v>-4.1450663891301837E-2</v>
      </c>
      <c r="E254" s="3">
        <v>1.3220649479079577E-2</v>
      </c>
      <c r="F254" s="3">
        <v>5.9199425109901773E-3</v>
      </c>
      <c r="G254" s="3">
        <v>-1.116600476981219E-2</v>
      </c>
      <c r="H254" s="3">
        <f>(Sheet1!$Y$19*' Rolling-window portfolio analy'!B254+Sheet1!$Z$19*' Rolling-window portfolio analy'!C254+Sheet1!$AA$19*' Rolling-window portfolio analy'!D254+Sheet1!$AB$19*' Rolling-window portfolio analy'!E254+Sheet1!$AC$19*' Rolling-window portfolio analy'!F254)</f>
        <v>-4.3688242298918142E-2</v>
      </c>
      <c r="I254" s="6">
        <f t="shared" si="4"/>
        <v>2.0853331511236752</v>
      </c>
      <c r="J254" s="86">
        <f t="shared" si="5"/>
        <v>-1.3353701895052689E-3</v>
      </c>
    </row>
    <row r="255" spans="1:10" x14ac:dyDescent="0.3">
      <c r="A255" s="2">
        <v>45663</v>
      </c>
      <c r="B255" s="3">
        <v>6.7163820337442027E-3</v>
      </c>
      <c r="C255" s="3">
        <v>3.3756182212011883E-2</v>
      </c>
      <c r="D255" s="3">
        <v>1.4851066041341062E-3</v>
      </c>
      <c r="E255" s="3">
        <v>3.9770785840750394E-3</v>
      </c>
      <c r="F255" s="3">
        <v>-1.0568951349234313E-2</v>
      </c>
      <c r="G255" s="3">
        <v>5.5228222624888485E-3</v>
      </c>
      <c r="H255" s="3">
        <f>(Sheet1!$Y$19*' Rolling-window portfolio analy'!B255+Sheet1!$Z$19*' Rolling-window portfolio analy'!C255+Sheet1!$AA$19*' Rolling-window portfolio analy'!D255+Sheet1!$AB$19*' Rolling-window portfolio analy'!E255+Sheet1!$AC$19*' Rolling-window portfolio analy'!F255)</f>
        <v>2.4148457320808014E-2</v>
      </c>
      <c r="I255" s="6">
        <f t="shared" ref="I255:I318" si="6">SLOPE(H196:H255,G196:G255)</f>
        <v>2.2453901262373313</v>
      </c>
      <c r="J255" s="86">
        <f t="shared" ref="J255:J318" si="7">AVERAGE(H196:H255)-($N$1+I255*(AVERAGE(G196:G255)-$N$1))</f>
        <v>-1.2581124810600102E-3</v>
      </c>
    </row>
    <row r="256" spans="1:10" x14ac:dyDescent="0.3">
      <c r="A256" s="2">
        <v>45660</v>
      </c>
      <c r="B256" s="3">
        <v>-2.0114536450788353E-3</v>
      </c>
      <c r="C256" s="3">
        <v>4.3574330904673421E-2</v>
      </c>
      <c r="D256" s="3">
        <v>7.8955036400145479E-2</v>
      </c>
      <c r="E256" s="3">
        <v>2.6123546812177826E-2</v>
      </c>
      <c r="F256" s="3">
        <v>5.581409838195486E-3</v>
      </c>
      <c r="G256" s="3">
        <v>1.2517287272659085E-2</v>
      </c>
      <c r="H256" s="3">
        <f>(Sheet1!$Y$19*' Rolling-window portfolio analy'!B256+Sheet1!$Z$19*' Rolling-window portfolio analy'!C256+Sheet1!$AA$19*' Rolling-window portfolio analy'!D256+Sheet1!$AB$19*' Rolling-window portfolio analy'!E256+Sheet1!$AC$19*' Rolling-window portfolio analy'!F256)</f>
        <v>3.0646713727104313E-2</v>
      </c>
      <c r="I256" s="6">
        <f t="shared" si="6"/>
        <v>2.2664151825954959</v>
      </c>
      <c r="J256" s="86">
        <f t="shared" si="7"/>
        <v>-9.925930620376046E-4</v>
      </c>
    </row>
    <row r="257" spans="1:10" x14ac:dyDescent="0.3">
      <c r="A257" s="2">
        <v>45659</v>
      </c>
      <c r="B257" s="3">
        <v>-2.6586226084739983E-2</v>
      </c>
      <c r="C257" s="3">
        <v>2.9495902043532696E-2</v>
      </c>
      <c r="D257" s="3">
        <v>-6.2744041318930799E-2</v>
      </c>
      <c r="E257" s="3">
        <v>1.3078413586792096E-2</v>
      </c>
      <c r="F257" s="3">
        <v>-3.4145617531050922E-3</v>
      </c>
      <c r="G257" s="3">
        <v>-2.2263497925529528E-3</v>
      </c>
      <c r="H257" s="3">
        <f>(Sheet1!$Y$19*' Rolling-window portfolio analy'!B257+Sheet1!$Z$19*' Rolling-window portfolio analy'!C257+Sheet1!$AA$19*' Rolling-window portfolio analy'!D257+Sheet1!$AB$19*' Rolling-window portfolio analy'!E257+Sheet1!$AC$19*' Rolling-window portfolio analy'!F257)</f>
        <v>1.3824586829628813E-2</v>
      </c>
      <c r="I257" s="6">
        <f t="shared" si="6"/>
        <v>2.257268358379203</v>
      </c>
      <c r="J257" s="86">
        <f t="shared" si="7"/>
        <v>-7.7197752864460603E-4</v>
      </c>
    </row>
    <row r="258" spans="1:10" x14ac:dyDescent="0.3">
      <c r="A258" s="2">
        <v>45657</v>
      </c>
      <c r="B258" s="3">
        <v>-7.0829152900175382E-3</v>
      </c>
      <c r="C258" s="3">
        <v>-2.3549546596058561E-2</v>
      </c>
      <c r="D258" s="3">
        <v>-3.3050192277534286E-2</v>
      </c>
      <c r="E258" s="3">
        <v>1.9521724110911926E-3</v>
      </c>
      <c r="F258" s="3">
        <v>3.7255553802421075E-3</v>
      </c>
      <c r="G258" s="3">
        <v>-4.2939964541344501E-3</v>
      </c>
      <c r="H258" s="3">
        <f>(Sheet1!$Y$19*' Rolling-window portfolio analy'!B258+Sheet1!$Z$19*' Rolling-window portfolio analy'!C258+Sheet1!$AA$19*' Rolling-window portfolio analy'!D258+Sheet1!$AB$19*' Rolling-window portfolio analy'!E258+Sheet1!$AC$19*' Rolling-window portfolio analy'!F258)</f>
        <v>-1.7052700172220728E-2</v>
      </c>
      <c r="I258" s="6">
        <f t="shared" si="6"/>
        <v>2.2736381670820656</v>
      </c>
      <c r="J258" s="86">
        <f t="shared" si="7"/>
        <v>-6.5043390651103178E-4</v>
      </c>
    </row>
    <row r="259" spans="1:10" x14ac:dyDescent="0.3">
      <c r="A259" s="2">
        <v>45656</v>
      </c>
      <c r="B259" s="3">
        <v>-1.3352174576538492E-2</v>
      </c>
      <c r="C259" s="3">
        <v>3.4972713241252736E-3</v>
      </c>
      <c r="D259" s="3">
        <v>-3.3569289140496533E-2</v>
      </c>
      <c r="E259" s="3">
        <v>3.4254988230274425E-3</v>
      </c>
      <c r="F259" s="3">
        <v>-9.596111402816845E-3</v>
      </c>
      <c r="G259" s="3">
        <v>-1.0759690191101295E-2</v>
      </c>
      <c r="H259" s="3">
        <f>(Sheet1!$Y$19*' Rolling-window portfolio analy'!B259+Sheet1!$Z$19*' Rolling-window portfolio analy'!C259+Sheet1!$AA$19*' Rolling-window portfolio analy'!D259+Sheet1!$AB$19*' Rolling-window portfolio analy'!E259+Sheet1!$AC$19*' Rolling-window portfolio analy'!F259)</f>
        <v>-7.6692655824875801E-4</v>
      </c>
      <c r="I259" s="6">
        <f t="shared" si="6"/>
        <v>2.321373440535961</v>
      </c>
      <c r="J259" s="86">
        <f t="shared" si="7"/>
        <v>-6.5886850265472205E-4</v>
      </c>
    </row>
    <row r="260" spans="1:10" x14ac:dyDescent="0.3">
      <c r="A260" s="2">
        <v>45653</v>
      </c>
      <c r="B260" s="3">
        <v>-1.3330680688083499E-2</v>
      </c>
      <c r="C260" s="3">
        <v>-2.1088381702604804E-2</v>
      </c>
      <c r="D260" s="3">
        <v>-5.0745259334350541E-2</v>
      </c>
      <c r="E260" s="3">
        <v>-1.9588644853331455E-3</v>
      </c>
      <c r="F260" s="3">
        <v>-1.8467225931647741E-3</v>
      </c>
      <c r="G260" s="3">
        <v>-1.111730467559637E-2</v>
      </c>
      <c r="H260" s="3">
        <f>(Sheet1!$Y$19*' Rolling-window portfolio analy'!B260+Sheet1!$Z$19*' Rolling-window portfolio analy'!C260+Sheet1!$AA$19*' Rolling-window portfolio analy'!D260+Sheet1!$AB$19*' Rolling-window portfolio analy'!E260+Sheet1!$AC$19*' Rolling-window portfolio analy'!F260)</f>
        <v>-1.7398322899783495E-2</v>
      </c>
      <c r="I260" s="6">
        <f t="shared" si="6"/>
        <v>2.3046435175856979</v>
      </c>
      <c r="J260" s="86">
        <f t="shared" si="7"/>
        <v>-4.684421477657969E-4</v>
      </c>
    </row>
    <row r="261" spans="1:10" x14ac:dyDescent="0.3">
      <c r="A261" s="2">
        <v>45652</v>
      </c>
      <c r="B261" s="3">
        <v>3.1708003828989626E-3</v>
      </c>
      <c r="C261" s="3">
        <v>-2.070320211199508E-3</v>
      </c>
      <c r="D261" s="3">
        <v>-1.7787267442065515E-2</v>
      </c>
      <c r="E261" s="3">
        <v>2.2039925659820153E-3</v>
      </c>
      <c r="F261" s="3">
        <v>-1.5363346085322056E-3</v>
      </c>
      <c r="G261" s="3">
        <v>-4.0570874146761795E-4</v>
      </c>
      <c r="H261" s="3">
        <f>(Sheet1!$Y$19*' Rolling-window portfolio analy'!B261+Sheet1!$Z$19*' Rolling-window portfolio analy'!C261+Sheet1!$AA$19*' Rolling-window portfolio analy'!D261+Sheet1!$AB$19*' Rolling-window portfolio analy'!E261+Sheet1!$AC$19*' Rolling-window portfolio analy'!F261)</f>
        <v>-3.8998536145174508E-4</v>
      </c>
      <c r="I261" s="6">
        <f t="shared" si="6"/>
        <v>2.2746727340923854</v>
      </c>
      <c r="J261" s="86">
        <f t="shared" si="7"/>
        <v>-1.8800672051882852E-4</v>
      </c>
    </row>
    <row r="262" spans="1:10" x14ac:dyDescent="0.3">
      <c r="A262" s="2">
        <v>45650</v>
      </c>
      <c r="B262" s="3">
        <v>1.1412669882966294E-2</v>
      </c>
      <c r="C262" s="3">
        <v>3.9301204611417624E-3</v>
      </c>
      <c r="D262" s="3">
        <v>7.0991183176977862E-2</v>
      </c>
      <c r="E262" s="3">
        <v>1.581451293669638E-2</v>
      </c>
      <c r="F262" s="3">
        <v>1.0804241539313874E-2</v>
      </c>
      <c r="G262" s="3">
        <v>1.0982197273831982E-2</v>
      </c>
      <c r="H262" s="3">
        <f>(Sheet1!$Y$19*' Rolling-window portfolio analy'!B262+Sheet1!$Z$19*' Rolling-window portfolio analy'!C262+Sheet1!$AA$19*' Rolling-window portfolio analy'!D262+Sheet1!$AB$19*' Rolling-window portfolio analy'!E262+Sheet1!$AC$19*' Rolling-window portfolio analy'!F262)</f>
        <v>7.0398882705456052E-3</v>
      </c>
      <c r="I262" s="6">
        <f t="shared" si="6"/>
        <v>2.2424527311878193</v>
      </c>
      <c r="J262" s="86">
        <f t="shared" si="7"/>
        <v>-4.6433658623513908E-4</v>
      </c>
    </row>
    <row r="263" spans="1:10" x14ac:dyDescent="0.3">
      <c r="A263" s="2">
        <v>45649</v>
      </c>
      <c r="B263" s="3">
        <v>3.0602660418225774E-3</v>
      </c>
      <c r="C263" s="3">
        <v>3.6232413901361615E-2</v>
      </c>
      <c r="D263" s="3">
        <v>2.2404243587853444E-2</v>
      </c>
      <c r="E263" s="3">
        <v>-4.2251833703425374E-3</v>
      </c>
      <c r="F263" s="3">
        <v>1.1549995730655802E-2</v>
      </c>
      <c r="G263" s="3">
        <v>7.2608954754625398E-3</v>
      </c>
      <c r="H263" s="3">
        <f>(Sheet1!$Y$19*' Rolling-window portfolio analy'!B263+Sheet1!$Z$19*' Rolling-window portfolio analy'!C263+Sheet1!$AA$19*' Rolling-window portfolio analy'!D263+Sheet1!$AB$19*' Rolling-window portfolio analy'!E263+Sheet1!$AC$19*' Rolling-window portfolio analy'!F263)</f>
        <v>2.4120159922289015E-2</v>
      </c>
      <c r="I263" s="6">
        <f t="shared" si="6"/>
        <v>2.2982087564929032</v>
      </c>
      <c r="J263" s="86">
        <f t="shared" si="7"/>
        <v>-3.4743809601086749E-5</v>
      </c>
    </row>
    <row r="264" spans="1:10" x14ac:dyDescent="0.3">
      <c r="A264" s="2">
        <v>45646</v>
      </c>
      <c r="B264" s="3">
        <v>1.8640977623199214E-2</v>
      </c>
      <c r="C264" s="3">
        <v>3.0298496683448778E-2</v>
      </c>
      <c r="D264" s="3">
        <v>-3.5256734269034695E-2</v>
      </c>
      <c r="E264" s="3">
        <v>1.2980711472721278E-2</v>
      </c>
      <c r="F264" s="3">
        <v>8.5133731906763838E-3</v>
      </c>
      <c r="G264" s="3">
        <v>1.0810476252410672E-2</v>
      </c>
      <c r="H264" s="3">
        <f>(Sheet1!$Y$19*' Rolling-window portfolio analy'!B264+Sheet1!$Z$19*' Rolling-window portfolio analy'!C264+Sheet1!$AA$19*' Rolling-window portfolio analy'!D264+Sheet1!$AB$19*' Rolling-window portfolio analy'!E264+Sheet1!$AC$19*' Rolling-window portfolio analy'!F264)</f>
        <v>2.5637801318823119E-2</v>
      </c>
      <c r="I264" s="6">
        <f t="shared" si="6"/>
        <v>2.3007896776168133</v>
      </c>
      <c r="J264" s="86">
        <f t="shared" si="7"/>
        <v>2.7807497987025667E-5</v>
      </c>
    </row>
    <row r="265" spans="1:10" x14ac:dyDescent="0.3">
      <c r="A265" s="2">
        <v>45645</v>
      </c>
      <c r="B265" s="3">
        <v>6.9902261174959015E-3</v>
      </c>
      <c r="C265" s="3">
        <v>1.3637100277856131E-2</v>
      </c>
      <c r="D265" s="3">
        <v>-9.0380622082183448E-3</v>
      </c>
      <c r="E265" s="3">
        <v>-6.0120421566278344E-3</v>
      </c>
      <c r="F265" s="3">
        <v>-1.5708774170817771E-2</v>
      </c>
      <c r="G265" s="3">
        <v>-8.6547345775283581E-4</v>
      </c>
      <c r="H265" s="3">
        <f>(Sheet1!$Y$19*' Rolling-window portfolio analy'!B265+Sheet1!$Z$19*' Rolling-window portfolio analy'!C265+Sheet1!$AA$19*' Rolling-window portfolio analy'!D265+Sheet1!$AB$19*' Rolling-window portfolio analy'!E265+Sheet1!$AC$19*' Rolling-window portfolio analy'!F265)</f>
        <v>1.007908056303119E-2</v>
      </c>
      <c r="I265" s="6">
        <f t="shared" si="6"/>
        <v>2.3027975982958919</v>
      </c>
      <c r="J265" s="86">
        <f t="shared" si="7"/>
        <v>7.1970752004892578E-5</v>
      </c>
    </row>
    <row r="266" spans="1:10" x14ac:dyDescent="0.3">
      <c r="A266" s="2">
        <v>45644</v>
      </c>
      <c r="B266" s="3">
        <v>-2.1654585708258262E-2</v>
      </c>
      <c r="C266" s="3">
        <v>-1.1415472980367396E-2</v>
      </c>
      <c r="D266" s="3">
        <v>-8.6424256872612945E-2</v>
      </c>
      <c r="E266" s="3">
        <v>-3.3643443110455966E-2</v>
      </c>
      <c r="F266" s="3">
        <v>-2.6151313389959182E-2</v>
      </c>
      <c r="G266" s="3">
        <v>-2.9936554508987644E-2</v>
      </c>
      <c r="H266" s="3">
        <f>(Sheet1!$Y$19*' Rolling-window portfolio analy'!B266+Sheet1!$Z$19*' Rolling-window portfolio analy'!C266+Sheet1!$AA$19*' Rolling-window portfolio analy'!D266+Sheet1!$AB$19*' Rolling-window portfolio analy'!E266+Sheet1!$AC$19*' Rolling-window portfolio analy'!F266)</f>
        <v>-1.620636407713057E-2</v>
      </c>
      <c r="I266" s="6">
        <f t="shared" si="6"/>
        <v>2.0906858297034066</v>
      </c>
      <c r="J266" s="86">
        <f t="shared" si="7"/>
        <v>7.8589850403553005E-4</v>
      </c>
    </row>
    <row r="267" spans="1:10" x14ac:dyDescent="0.3">
      <c r="A267" s="2">
        <v>45643</v>
      </c>
      <c r="B267" s="3">
        <v>9.6726354705936723E-3</v>
      </c>
      <c r="C267" s="3">
        <v>-1.2271963150990077E-2</v>
      </c>
      <c r="D267" s="3">
        <v>3.5724144994708683E-2</v>
      </c>
      <c r="E267" s="3">
        <v>-9.3739419732347413E-3</v>
      </c>
      <c r="F267" s="3">
        <v>-3.0362836122126364E-4</v>
      </c>
      <c r="G267" s="3">
        <v>-3.8714440227630084E-3</v>
      </c>
      <c r="H267" s="3">
        <f>(Sheet1!$Y$19*' Rolling-window portfolio analy'!B267+Sheet1!$Z$19*' Rolling-window portfolio analy'!C267+Sheet1!$AA$19*' Rolling-window portfolio analy'!D267+Sheet1!$AB$19*' Rolling-window portfolio analy'!E267+Sheet1!$AC$19*' Rolling-window portfolio analy'!F267)</f>
        <v>-6.4527668894615352E-3</v>
      </c>
      <c r="I267" s="6">
        <f t="shared" si="6"/>
        <v>2.085799733401918</v>
      </c>
      <c r="J267" s="86">
        <f t="shared" si="7"/>
        <v>8.4814908095651653E-4</v>
      </c>
    </row>
    <row r="268" spans="1:10" x14ac:dyDescent="0.3">
      <c r="A268" s="2">
        <v>45642</v>
      </c>
      <c r="B268" s="3">
        <v>1.1659486612797755E-2</v>
      </c>
      <c r="C268" s="3">
        <v>-1.6901810802603254E-2</v>
      </c>
      <c r="D268" s="3">
        <v>5.9600622504062561E-2</v>
      </c>
      <c r="E268" s="3">
        <v>-8.3383449171539181E-3</v>
      </c>
      <c r="F268" s="3">
        <v>-9.0662452377533072E-3</v>
      </c>
      <c r="G268" s="3">
        <v>3.7921163249597686E-3</v>
      </c>
      <c r="H268" s="3">
        <f>(Sheet1!$Y$19*' Rolling-window portfolio analy'!B268+Sheet1!$Z$19*' Rolling-window portfolio analy'!C268+Sheet1!$AA$19*' Rolling-window portfolio analy'!D268+Sheet1!$AB$19*' Rolling-window portfolio analy'!E268+Sheet1!$AC$19*' Rolling-window portfolio analy'!F268)</f>
        <v>-8.848027714468942E-3</v>
      </c>
      <c r="I268" s="6">
        <f t="shared" si="6"/>
        <v>2.0989120916778372</v>
      </c>
      <c r="J268" s="86">
        <f t="shared" si="7"/>
        <v>9.5598880485222399E-4</v>
      </c>
    </row>
    <row r="269" spans="1:10" x14ac:dyDescent="0.3">
      <c r="A269" s="2">
        <v>45639</v>
      </c>
      <c r="B269" s="3">
        <v>6.8535953820605803E-4</v>
      </c>
      <c r="C269" s="3">
        <v>-2.2755869803556265E-2</v>
      </c>
      <c r="D269" s="3">
        <v>4.244898883098476E-2</v>
      </c>
      <c r="E269" s="3">
        <v>-4.2613700849678518E-3</v>
      </c>
      <c r="F269" s="3">
        <v>-1.3150219386878468E-2</v>
      </c>
      <c r="G269" s="3">
        <v>-2.6441167577320025E-5</v>
      </c>
      <c r="H269" s="3">
        <f>(Sheet1!$Y$19*' Rolling-window portfolio analy'!B269+Sheet1!$Z$19*' Rolling-window portfolio analy'!C269+Sheet1!$AA$19*' Rolling-window portfolio analy'!D269+Sheet1!$AB$19*' Rolling-window portfolio analy'!E269+Sheet1!$AC$19*' Rolling-window portfolio analy'!F269)</f>
        <v>-1.5053782656086038E-2</v>
      </c>
      <c r="I269" s="6">
        <f t="shared" si="6"/>
        <v>2.1110226463289727</v>
      </c>
      <c r="J269" s="86">
        <f t="shared" si="7"/>
        <v>7.8540309548874414E-4</v>
      </c>
    </row>
    <row r="270" spans="1:10" x14ac:dyDescent="0.3">
      <c r="A270" s="2">
        <v>45638</v>
      </c>
      <c r="B270" s="3">
        <v>5.9460181251939897E-3</v>
      </c>
      <c r="C270" s="3">
        <v>-1.4242062525603194E-2</v>
      </c>
      <c r="D270" s="3">
        <v>-1.5827207602469726E-2</v>
      </c>
      <c r="E270" s="3">
        <v>-3.066401742277802E-3</v>
      </c>
      <c r="F270" s="3">
        <v>2.0805476371117786E-3</v>
      </c>
      <c r="G270" s="3">
        <v>-5.4287410919564485E-3</v>
      </c>
      <c r="H270" s="3">
        <f>(Sheet1!$Y$19*' Rolling-window portfolio analy'!B270+Sheet1!$Z$19*' Rolling-window portfolio analy'!C270+Sheet1!$AA$19*' Rolling-window portfolio analy'!D270+Sheet1!$AB$19*' Rolling-window portfolio analy'!E270+Sheet1!$AC$19*' Rolling-window portfolio analy'!F270)</f>
        <v>-8.1643816406517383E-3</v>
      </c>
      <c r="I270" s="6">
        <f t="shared" si="6"/>
        <v>2.1468731046327867</v>
      </c>
      <c r="J270" s="86">
        <f t="shared" si="7"/>
        <v>5.8917782038387994E-4</v>
      </c>
    </row>
    <row r="271" spans="1:10" x14ac:dyDescent="0.3">
      <c r="A271" s="2">
        <v>45637</v>
      </c>
      <c r="B271" s="3">
        <v>-5.1794717822105452E-3</v>
      </c>
      <c r="C271" s="3">
        <v>3.0908503145460821E-2</v>
      </c>
      <c r="D271" s="3">
        <v>5.7611356625228739E-2</v>
      </c>
      <c r="E271" s="3">
        <v>2.9881510924384104E-2</v>
      </c>
      <c r="F271" s="3">
        <v>-1.652442439018622E-2</v>
      </c>
      <c r="G271" s="3">
        <v>8.1326619328850828E-3</v>
      </c>
      <c r="H271" s="3">
        <f>(Sheet1!$Y$19*' Rolling-window portfolio analy'!B271+Sheet1!$Z$19*' Rolling-window portfolio analy'!C271+Sheet1!$AA$19*' Rolling-window portfolio analy'!D271+Sheet1!$AB$19*' Rolling-window portfolio analy'!E271+Sheet1!$AC$19*' Rolling-window portfolio analy'!F271)</f>
        <v>2.1885060817732321E-2</v>
      </c>
      <c r="I271" s="6">
        <f t="shared" si="6"/>
        <v>2.1252779113540501</v>
      </c>
      <c r="J271" s="86">
        <f t="shared" si="7"/>
        <v>1.7375677603367369E-4</v>
      </c>
    </row>
    <row r="272" spans="1:10" x14ac:dyDescent="0.3">
      <c r="A272" s="2">
        <v>45636</v>
      </c>
      <c r="B272" s="3">
        <v>4.1252181771443009E-3</v>
      </c>
      <c r="C272" s="3">
        <v>-2.731292901434523E-2</v>
      </c>
      <c r="D272" s="3">
        <v>2.8328356777005705E-2</v>
      </c>
      <c r="E272" s="3">
        <v>-5.3243107385843869E-3</v>
      </c>
      <c r="F272" s="3">
        <v>5.8702839547080223E-3</v>
      </c>
      <c r="G272" s="3">
        <v>-2.9682940713745675E-3</v>
      </c>
      <c r="H272" s="3">
        <f>(Sheet1!$Y$19*' Rolling-window portfolio analy'!B272+Sheet1!$Z$19*' Rolling-window portfolio analy'!C272+Sheet1!$AA$19*' Rolling-window portfolio analy'!D272+Sheet1!$AB$19*' Rolling-window portfolio analy'!E272+Sheet1!$AC$19*' Rolling-window portfolio analy'!F272)</f>
        <v>-1.7308037961924806E-2</v>
      </c>
      <c r="I272" s="6">
        <f t="shared" si="6"/>
        <v>2.1510261897293059</v>
      </c>
      <c r="J272" s="86">
        <f t="shared" si="7"/>
        <v>-3.269400616819078E-4</v>
      </c>
    </row>
    <row r="273" spans="1:10" x14ac:dyDescent="0.3">
      <c r="A273" s="2">
        <v>45635</v>
      </c>
      <c r="B273" s="3">
        <v>1.5972888051357558E-2</v>
      </c>
      <c r="C273" s="3">
        <v>-2.5814766822559045E-2</v>
      </c>
      <c r="D273" s="3">
        <v>1.4633961097356308E-3</v>
      </c>
      <c r="E273" s="3">
        <v>2.9006546806373116E-3</v>
      </c>
      <c r="F273" s="3">
        <v>-1.403121528717512E-2</v>
      </c>
      <c r="G273" s="3">
        <v>-6.1631802121963038E-3</v>
      </c>
      <c r="H273" s="3">
        <f>(Sheet1!$Y$19*' Rolling-window portfolio analy'!B273+Sheet1!$Z$19*' Rolling-window portfolio analy'!C273+Sheet1!$AA$19*' Rolling-window portfolio analy'!D273+Sheet1!$AB$19*' Rolling-window portfolio analy'!E273+Sheet1!$AC$19*' Rolling-window portfolio analy'!F273)</f>
        <v>-1.2649464832563302E-2</v>
      </c>
      <c r="I273" s="6">
        <f t="shared" si="6"/>
        <v>2.1934264317301704</v>
      </c>
      <c r="J273" s="86">
        <f t="shared" si="7"/>
        <v>-4.0867212948237893E-4</v>
      </c>
    </row>
    <row r="274" spans="1:10" x14ac:dyDescent="0.3">
      <c r="A274" s="2">
        <v>45632</v>
      </c>
      <c r="B274" s="3">
        <v>-8.2324858522934052E-4</v>
      </c>
      <c r="C274" s="3">
        <v>-1.8226591525689419E-2</v>
      </c>
      <c r="D274" s="3">
        <v>5.2021060030447104E-2</v>
      </c>
      <c r="E274" s="3">
        <v>-2.8634740962025479E-2</v>
      </c>
      <c r="F274" s="3">
        <v>-4.9225522883954275E-3</v>
      </c>
      <c r="G274" s="3">
        <v>2.4923196558419955E-3</v>
      </c>
      <c r="H274" s="3">
        <f>(Sheet1!$Y$19*' Rolling-window portfolio analy'!B274+Sheet1!$Z$19*' Rolling-window portfolio analy'!C274+Sheet1!$AA$19*' Rolling-window portfolio analy'!D274+Sheet1!$AB$19*' Rolling-window portfolio analy'!E274+Sheet1!$AC$19*' Rolling-window portfolio analy'!F274)</f>
        <v>-1.4758603264787024E-2</v>
      </c>
      <c r="I274" s="6">
        <f t="shared" si="6"/>
        <v>2.1719238821156672</v>
      </c>
      <c r="J274" s="86">
        <f t="shared" si="7"/>
        <v>-8.7777215734357672E-4</v>
      </c>
    </row>
    <row r="275" spans="1:10" x14ac:dyDescent="0.3">
      <c r="A275" s="2">
        <v>45631</v>
      </c>
      <c r="B275" s="3">
        <v>1.2344409027086238E-4</v>
      </c>
      <c r="C275" s="3">
        <v>-5.5134391472441149E-4</v>
      </c>
      <c r="D275" s="3">
        <v>3.1786239866753309E-2</v>
      </c>
      <c r="E275" s="3">
        <v>-1.1755026626902971E-3</v>
      </c>
      <c r="F275" s="3">
        <v>-1.945141419118783E-2</v>
      </c>
      <c r="G275" s="3">
        <v>-1.8714648272306858E-3</v>
      </c>
      <c r="H275" s="3">
        <f>(Sheet1!$Y$19*' Rolling-window portfolio analy'!B275+Sheet1!$Z$19*' Rolling-window portfolio analy'!C275+Sheet1!$AA$19*' Rolling-window portfolio analy'!D275+Sheet1!$AB$19*' Rolling-window portfolio analy'!E275+Sheet1!$AC$19*' Rolling-window portfolio analy'!F275)</f>
        <v>-3.8409484761015326E-4</v>
      </c>
      <c r="I275" s="6">
        <f t="shared" si="6"/>
        <v>2.1706231445200177</v>
      </c>
      <c r="J275" s="86">
        <f t="shared" si="7"/>
        <v>-7.9896831068721613E-4</v>
      </c>
    </row>
    <row r="276" spans="1:10" x14ac:dyDescent="0.3">
      <c r="A276" s="2">
        <v>45630</v>
      </c>
      <c r="B276" s="3">
        <v>1.4825189059665656E-3</v>
      </c>
      <c r="C276" s="3">
        <v>3.4200950741226366E-2</v>
      </c>
      <c r="D276" s="3">
        <v>1.8355347226072672E-2</v>
      </c>
      <c r="E276" s="3">
        <v>-2.5746522464080622E-2</v>
      </c>
      <c r="F276" s="3">
        <v>-1.9635974516858962E-2</v>
      </c>
      <c r="G276" s="3">
        <v>6.0331237505021089E-3</v>
      </c>
      <c r="H276" s="3">
        <f>(Sheet1!$Y$19*' Rolling-window portfolio analy'!B276+Sheet1!$Z$19*' Rolling-window portfolio analy'!C276+Sheet1!$AA$19*' Rolling-window portfolio analy'!D276+Sheet1!$AB$19*' Rolling-window portfolio analy'!E276+Sheet1!$AC$19*' Rolling-window portfolio analy'!F276)</f>
        <v>2.0349044467821251E-2</v>
      </c>
      <c r="I276" s="6">
        <f t="shared" si="6"/>
        <v>2.2236654705550389</v>
      </c>
      <c r="J276" s="86">
        <f t="shared" si="7"/>
        <v>-3.2739984816572225E-4</v>
      </c>
    </row>
    <row r="277" spans="1:10" x14ac:dyDescent="0.3">
      <c r="A277" s="2">
        <v>45629</v>
      </c>
      <c r="B277" s="3">
        <v>1.269094670795666E-2</v>
      </c>
      <c r="C277" s="3">
        <v>1.1689329558479629E-2</v>
      </c>
      <c r="D277" s="3">
        <v>-1.6005761518152094E-2</v>
      </c>
      <c r="E277" s="3">
        <v>-4.5787546587480873E-4</v>
      </c>
      <c r="F277" s="3">
        <v>-9.4001245119152439E-3</v>
      </c>
      <c r="G277" s="3">
        <v>4.5135046310470323E-4</v>
      </c>
      <c r="H277" s="3">
        <f>(Sheet1!$Y$19*' Rolling-window portfolio analy'!B277+Sheet1!$Z$19*' Rolling-window portfolio analy'!C277+Sheet1!$AA$19*' Rolling-window portfolio analy'!D277+Sheet1!$AB$19*' Rolling-window portfolio analy'!E277+Sheet1!$AC$19*' Rolling-window portfolio analy'!F277)</f>
        <v>1.0735891487221315E-2</v>
      </c>
      <c r="I277" s="6">
        <f t="shared" si="6"/>
        <v>2.3124393373917171</v>
      </c>
      <c r="J277" s="86">
        <f t="shared" si="7"/>
        <v>-6.7599546651254017E-4</v>
      </c>
    </row>
    <row r="278" spans="1:10" x14ac:dyDescent="0.3">
      <c r="A278" s="2">
        <v>45628</v>
      </c>
      <c r="B278" s="3">
        <v>9.477551441854002E-3</v>
      </c>
      <c r="C278" s="3">
        <v>2.7448731478405524E-3</v>
      </c>
      <c r="D278" s="3">
        <v>3.3979773207791282E-2</v>
      </c>
      <c r="E278" s="3">
        <v>-5.9333811678416414E-3</v>
      </c>
      <c r="F278" s="3">
        <v>-5.7621232277622024E-3</v>
      </c>
      <c r="G278" s="3">
        <v>2.4454606033056034E-3</v>
      </c>
      <c r="H278" s="3">
        <f>(Sheet1!$Y$19*' Rolling-window portfolio analy'!B278+Sheet1!$Z$19*' Rolling-window portfolio analy'!C278+Sheet1!$AA$19*' Rolling-window portfolio analy'!D278+Sheet1!$AB$19*' Rolling-window portfolio analy'!E278+Sheet1!$AC$19*' Rolling-window portfolio analy'!F278)</f>
        <v>3.652596258324137E-3</v>
      </c>
      <c r="I278" s="6">
        <f t="shared" si="6"/>
        <v>2.2183400044579229</v>
      </c>
      <c r="J278" s="86">
        <f t="shared" si="7"/>
        <v>-3.3455913729902708E-4</v>
      </c>
    </row>
    <row r="279" spans="1:10" x14ac:dyDescent="0.3">
      <c r="A279" s="2">
        <v>45625</v>
      </c>
      <c r="B279" s="3">
        <v>1.0163980270458799E-2</v>
      </c>
      <c r="C279" s="3">
        <v>2.1273509598364767E-2</v>
      </c>
      <c r="D279" s="3">
        <v>3.6195972561074923E-2</v>
      </c>
      <c r="E279" s="3">
        <v>7.7661422765108977E-3</v>
      </c>
      <c r="F279" s="3">
        <v>-8.2045676693220785E-4</v>
      </c>
      <c r="G279" s="3">
        <v>5.5921788939180331E-3</v>
      </c>
      <c r="H279" s="3">
        <f>(Sheet1!$Y$19*' Rolling-window portfolio analy'!B279+Sheet1!$Z$19*' Rolling-window portfolio analy'!C279+Sheet1!$AA$19*' Rolling-window portfolio analy'!D279+Sheet1!$AB$19*' Rolling-window portfolio analy'!E279+Sheet1!$AC$19*' Rolling-window portfolio analy'!F279)</f>
        <v>1.7256507851932022E-2</v>
      </c>
      <c r="I279" s="6">
        <f t="shared" si="6"/>
        <v>2.2332577743742066</v>
      </c>
      <c r="J279" s="86">
        <f t="shared" si="7"/>
        <v>-2.0471054452423027E-4</v>
      </c>
    </row>
    <row r="280" spans="1:10" x14ac:dyDescent="0.3">
      <c r="A280" s="2">
        <v>45623</v>
      </c>
      <c r="B280" s="3">
        <v>-5.5320327375206512E-4</v>
      </c>
      <c r="C280" s="3">
        <v>-1.1606682857905002E-2</v>
      </c>
      <c r="D280" s="3">
        <v>-1.5914032359738598E-2</v>
      </c>
      <c r="E280" s="3">
        <v>1.8361262904688623E-3</v>
      </c>
      <c r="F280" s="3">
        <v>-3.0025954044710611E-3</v>
      </c>
      <c r="G280" s="3">
        <v>-3.8085396153748753E-3</v>
      </c>
      <c r="H280" s="3">
        <f>(Sheet1!$Y$19*' Rolling-window portfolio analy'!B280+Sheet1!$Z$19*' Rolling-window portfolio analy'!C280+Sheet1!$AA$19*' Rolling-window portfolio analy'!D280+Sheet1!$AB$19*' Rolling-window portfolio analy'!E280+Sheet1!$AC$19*' Rolling-window portfolio analy'!F280)</f>
        <v>-7.5904917637851718E-3</v>
      </c>
      <c r="I280" s="6">
        <f t="shared" si="6"/>
        <v>2.1333127834653189</v>
      </c>
      <c r="J280" s="86">
        <f t="shared" si="7"/>
        <v>1.9914521329806976E-4</v>
      </c>
    </row>
    <row r="281" spans="1:10" x14ac:dyDescent="0.3">
      <c r="A281" s="2">
        <v>45622</v>
      </c>
      <c r="B281" s="3">
        <v>9.3604427595636724E-3</v>
      </c>
      <c r="C281" s="3">
        <v>6.594879914491771E-3</v>
      </c>
      <c r="D281" s="3">
        <v>-1.0637984514345806E-3</v>
      </c>
      <c r="E281" s="3">
        <v>-4.593477343055346E-4</v>
      </c>
      <c r="F281" s="3">
        <v>1.9096991208260494E-3</v>
      </c>
      <c r="G281" s="3">
        <v>5.7057361888066833E-3</v>
      </c>
      <c r="H281" s="3">
        <f>(Sheet1!$Y$19*' Rolling-window portfolio analy'!B281+Sheet1!$Z$19*' Rolling-window portfolio analy'!C281+Sheet1!$AA$19*' Rolling-window portfolio analy'!D281+Sheet1!$AB$19*' Rolling-window portfolio analy'!E281+Sheet1!$AC$19*' Rolling-window portfolio analy'!F281)</f>
        <v>6.5995673854953273E-3</v>
      </c>
      <c r="I281" s="6">
        <f t="shared" si="6"/>
        <v>2.1244227906391466</v>
      </c>
      <c r="J281" s="86">
        <f t="shared" si="7"/>
        <v>-1.5060918155487124E-4</v>
      </c>
    </row>
    <row r="282" spans="1:10" x14ac:dyDescent="0.3">
      <c r="A282" s="2">
        <v>45621</v>
      </c>
      <c r="B282" s="3">
        <v>1.2966426208818584E-2</v>
      </c>
      <c r="C282" s="3">
        <v>-4.267294917148743E-2</v>
      </c>
      <c r="D282" s="3">
        <v>-4.0430884643526475E-2</v>
      </c>
      <c r="E282" s="3">
        <v>-1.594566815542673E-2</v>
      </c>
      <c r="F282" s="3">
        <v>2.320546116579135E-2</v>
      </c>
      <c r="G282" s="3">
        <v>3.015882072251307E-3</v>
      </c>
      <c r="H282" s="3">
        <f>(Sheet1!$Y$19*' Rolling-window portfolio analy'!B282+Sheet1!$Z$19*' Rolling-window portfolio analy'!C282+Sheet1!$AA$19*' Rolling-window portfolio analy'!D282+Sheet1!$AB$19*' Rolling-window portfolio analy'!E282+Sheet1!$AC$19*' Rolling-window portfolio analy'!F282)</f>
        <v>-2.6296968845184714E-2</v>
      </c>
      <c r="I282" s="6">
        <f t="shared" si="6"/>
        <v>2.088948432396148</v>
      </c>
      <c r="J282" s="86">
        <f t="shared" si="7"/>
        <v>-5.3168515630806442E-4</v>
      </c>
    </row>
    <row r="283" spans="1:10" x14ac:dyDescent="0.3">
      <c r="A283" s="2">
        <v>45618</v>
      </c>
      <c r="B283" s="3">
        <v>5.890197880063815E-3</v>
      </c>
      <c r="C283" s="3">
        <v>-3.2710282339683691E-2</v>
      </c>
      <c r="D283" s="3">
        <v>3.7334587402568988E-2</v>
      </c>
      <c r="E283" s="3">
        <v>-1.4136889760502466E-2</v>
      </c>
      <c r="F283" s="3">
        <v>1.237361118902266E-2</v>
      </c>
      <c r="G283" s="3">
        <v>3.4619792004100735E-3</v>
      </c>
      <c r="H283" s="3">
        <f>(Sheet1!$Y$19*' Rolling-window portfolio analy'!B283+Sheet1!$Z$19*' Rolling-window portfolio analy'!C283+Sheet1!$AA$19*' Rolling-window portfolio analy'!D283+Sheet1!$AB$19*' Rolling-window portfolio analy'!E283+Sheet1!$AC$19*' Rolling-window portfolio analy'!F283)</f>
        <v>-2.122209163397501E-2</v>
      </c>
      <c r="I283" s="6">
        <f t="shared" si="6"/>
        <v>2.0533235515977322</v>
      </c>
      <c r="J283" s="86">
        <f t="shared" si="7"/>
        <v>-8.2691681990865412E-4</v>
      </c>
    </row>
    <row r="284" spans="1:10" x14ac:dyDescent="0.3">
      <c r="A284" s="2">
        <v>45617</v>
      </c>
      <c r="B284" s="3">
        <v>-2.0982696979778065E-3</v>
      </c>
      <c r="C284" s="3">
        <v>5.3322521748597551E-3</v>
      </c>
      <c r="D284" s="3">
        <v>-7.01221938257535E-3</v>
      </c>
      <c r="E284" s="3">
        <v>1.2781876003042742E-2</v>
      </c>
      <c r="F284" s="3">
        <v>2.2029212958017186E-2</v>
      </c>
      <c r="G284" s="3">
        <v>5.3262353051749837E-3</v>
      </c>
      <c r="H284" s="3">
        <f>(Sheet1!$Y$19*' Rolling-window portfolio analy'!B284+Sheet1!$Z$19*' Rolling-window portfolio analy'!C284+Sheet1!$AA$19*' Rolling-window portfolio analy'!D284+Sheet1!$AB$19*' Rolling-window portfolio analy'!E284+Sheet1!$AC$19*' Rolling-window portfolio analy'!F284)</f>
        <v>4.1686992715912361E-3</v>
      </c>
      <c r="I284" s="6">
        <f t="shared" si="6"/>
        <v>2.0756697963829462</v>
      </c>
      <c r="J284" s="86">
        <f t="shared" si="7"/>
        <v>-1.0357538027044302E-3</v>
      </c>
    </row>
    <row r="285" spans="1:10" x14ac:dyDescent="0.3">
      <c r="A285" s="2">
        <v>45616</v>
      </c>
      <c r="B285" s="3">
        <v>3.1490578857323766E-3</v>
      </c>
      <c r="C285" s="3">
        <v>-7.6476985920707645E-3</v>
      </c>
      <c r="D285" s="3">
        <v>-1.154032254398627E-2</v>
      </c>
      <c r="E285" s="3">
        <v>3.3038104601512477E-2</v>
      </c>
      <c r="F285" s="3">
        <v>-8.6742813014544764E-4</v>
      </c>
      <c r="G285" s="3">
        <v>2.1970426117316337E-5</v>
      </c>
      <c r="H285" s="3">
        <f>(Sheet1!$Y$19*' Rolling-window portfolio analy'!B285+Sheet1!$Z$19*' Rolling-window portfolio analy'!C285+Sheet1!$AA$19*' Rolling-window portfolio analy'!D285+Sheet1!$AB$19*' Rolling-window portfolio analy'!E285+Sheet1!$AC$19*' Rolling-window portfolio analy'!F285)</f>
        <v>-1.1103065266236663E-3</v>
      </c>
      <c r="I285" s="6">
        <f t="shared" si="6"/>
        <v>2.0962837718674949</v>
      </c>
      <c r="J285" s="86">
        <f t="shared" si="7"/>
        <v>-1.3000378437692801E-3</v>
      </c>
    </row>
    <row r="286" spans="1:10" x14ac:dyDescent="0.3">
      <c r="A286" s="2">
        <v>45615</v>
      </c>
      <c r="B286" s="3">
        <v>1.1396012629335743E-3</v>
      </c>
      <c r="C286" s="3">
        <v>4.7787334065077465E-2</v>
      </c>
      <c r="D286" s="3">
        <v>2.1205923594749047E-2</v>
      </c>
      <c r="E286" s="3">
        <v>-4.6544184561335133E-3</v>
      </c>
      <c r="F286" s="3">
        <v>-1.0636869011605841E-2</v>
      </c>
      <c r="G286" s="3">
        <v>3.9557737052673715E-3</v>
      </c>
      <c r="H286" s="3">
        <f>(Sheet1!$Y$19*' Rolling-window portfolio analy'!B286+Sheet1!$Z$19*' Rolling-window portfolio analy'!C286+Sheet1!$AA$19*' Rolling-window portfolio analy'!D286+Sheet1!$AB$19*' Rolling-window portfolio analy'!E286+Sheet1!$AC$19*' Rolling-window portfolio analy'!F286)</f>
        <v>3.1163980622250613E-2</v>
      </c>
      <c r="I286" s="6">
        <f t="shared" si="6"/>
        <v>2.1198634356246182</v>
      </c>
      <c r="J286" s="86">
        <f t="shared" si="7"/>
        <v>-8.3851925614950311E-4</v>
      </c>
    </row>
    <row r="287" spans="1:10" x14ac:dyDescent="0.3">
      <c r="A287" s="2">
        <v>45614</v>
      </c>
      <c r="B287" s="3">
        <v>1.3332942201153587E-2</v>
      </c>
      <c r="C287" s="3">
        <v>-1.2972925000442384E-2</v>
      </c>
      <c r="D287" s="3">
        <v>5.466438312872355E-2</v>
      </c>
      <c r="E287" s="3">
        <v>3.0229066153843803E-3</v>
      </c>
      <c r="F287" s="3">
        <v>-4.5649152024513371E-3</v>
      </c>
      <c r="G287" s="3">
        <v>3.9101598241076656E-3</v>
      </c>
      <c r="H287" s="3">
        <f>(Sheet1!$Y$19*' Rolling-window portfolio analy'!B287+Sheet1!$Z$19*' Rolling-window portfolio analy'!C287+Sheet1!$AA$19*' Rolling-window portfolio analy'!D287+Sheet1!$AB$19*' Rolling-window portfolio analy'!E287+Sheet1!$AC$19*' Rolling-window portfolio analy'!F287)</f>
        <v>-4.7910664914988443E-3</v>
      </c>
      <c r="I287" s="6">
        <f t="shared" si="6"/>
        <v>2.1096142073635038</v>
      </c>
      <c r="J287" s="86">
        <f t="shared" si="7"/>
        <v>-1.0253522354449496E-3</v>
      </c>
    </row>
    <row r="288" spans="1:10" x14ac:dyDescent="0.3">
      <c r="A288" s="2">
        <v>45611</v>
      </c>
      <c r="B288" s="3">
        <v>-1.4209673802113448E-2</v>
      </c>
      <c r="C288" s="3">
        <v>-3.3112396875841478E-2</v>
      </c>
      <c r="D288" s="3">
        <v>3.0196945447434963E-2</v>
      </c>
      <c r="E288" s="3">
        <v>-5.5736326360263802E-3</v>
      </c>
      <c r="F288" s="3">
        <v>-1.4132513340009001E-2</v>
      </c>
      <c r="G288" s="3">
        <v>-1.3291463960568205E-2</v>
      </c>
      <c r="H288" s="3">
        <f>(Sheet1!$Y$19*' Rolling-window portfolio analy'!B288+Sheet1!$Z$19*' Rolling-window portfolio analy'!C288+Sheet1!$AA$19*' Rolling-window portfolio analy'!D288+Sheet1!$AB$19*' Rolling-window portfolio analy'!E288+Sheet1!$AC$19*' Rolling-window portfolio analy'!F288)</f>
        <v>-2.5684448834651114E-2</v>
      </c>
      <c r="I288" s="6">
        <f t="shared" si="6"/>
        <v>2.1000682990750383</v>
      </c>
      <c r="J288" s="86">
        <f t="shared" si="7"/>
        <v>-1.3300531122306719E-3</v>
      </c>
    </row>
    <row r="289" spans="1:10" x14ac:dyDescent="0.3">
      <c r="A289" s="2">
        <v>45610</v>
      </c>
      <c r="B289" s="3">
        <v>1.3676482640454679E-2</v>
      </c>
      <c r="C289" s="3">
        <v>3.3443705880842637E-3</v>
      </c>
      <c r="D289" s="3">
        <v>-5.9448139966326516E-2</v>
      </c>
      <c r="E289" s="3">
        <v>2.5507260206419731E-3</v>
      </c>
      <c r="F289" s="3">
        <v>-2.3576185588385843E-2</v>
      </c>
      <c r="G289" s="3">
        <v>-6.0681150291174617E-3</v>
      </c>
      <c r="H289" s="3">
        <f>(Sheet1!$Y$19*' Rolling-window portfolio analy'!B289+Sheet1!$Z$19*' Rolling-window portfolio analy'!C289+Sheet1!$AA$19*' Rolling-window portfolio analy'!D289+Sheet1!$AB$19*' Rolling-window portfolio analy'!E289+Sheet1!$AC$19*' Rolling-window portfolio analy'!F289)</f>
        <v>5.724616987167001E-3</v>
      </c>
      <c r="I289" s="6">
        <f t="shared" si="6"/>
        <v>2.055549729727864</v>
      </c>
      <c r="J289" s="86">
        <f t="shared" si="7"/>
        <v>-1.0716227864814459E-3</v>
      </c>
    </row>
    <row r="290" spans="1:10" x14ac:dyDescent="0.3">
      <c r="A290" s="2">
        <v>45609</v>
      </c>
      <c r="B290" s="3">
        <v>3.9612825806397481E-3</v>
      </c>
      <c r="C290" s="3">
        <v>-1.3715587087980549E-2</v>
      </c>
      <c r="D290" s="3">
        <v>5.3132667921312491E-3</v>
      </c>
      <c r="E290" s="3">
        <v>-1.3834668431450384E-2</v>
      </c>
      <c r="F290" s="3">
        <v>9.6406200465815571E-3</v>
      </c>
      <c r="G290" s="3">
        <v>2.322595101076364E-4</v>
      </c>
      <c r="H290" s="3">
        <f>(Sheet1!$Y$19*' Rolling-window portfolio analy'!B290+Sheet1!$Z$19*' Rolling-window portfolio analy'!C290+Sheet1!$AA$19*' Rolling-window portfolio analy'!D290+Sheet1!$AB$19*' Rolling-window portfolio analy'!E290+Sheet1!$AC$19*' Rolling-window portfolio analy'!F290)</f>
        <v>-9.2964418755005374E-3</v>
      </c>
      <c r="I290" s="6">
        <f t="shared" si="6"/>
        <v>2.056896191988201</v>
      </c>
      <c r="J290" s="86">
        <f t="shared" si="7"/>
        <v>-1.2429226556438136E-3</v>
      </c>
    </row>
    <row r="291" spans="1:10" x14ac:dyDescent="0.3">
      <c r="A291" s="2">
        <v>45608</v>
      </c>
      <c r="B291" s="3">
        <v>0</v>
      </c>
      <c r="C291" s="3">
        <v>2.0644575808955484E-2</v>
      </c>
      <c r="D291" s="3">
        <v>-6.3426758422447424E-2</v>
      </c>
      <c r="E291" s="3">
        <v>-1.0025146619378707E-2</v>
      </c>
      <c r="F291" s="3">
        <v>-1.0736510567218915E-2</v>
      </c>
      <c r="G291" s="3">
        <v>-2.8968743715661891E-3</v>
      </c>
      <c r="H291" s="3">
        <f>(Sheet1!$Y$19*' Rolling-window portfolio analy'!B291+Sheet1!$Z$19*' Rolling-window portfolio analy'!C291+Sheet1!$AA$19*' Rolling-window portfolio analy'!D291+Sheet1!$AB$19*' Rolling-window portfolio analy'!E291+Sheet1!$AC$19*' Rolling-window portfolio analy'!F291)</f>
        <v>1.2448799380526695E-2</v>
      </c>
      <c r="I291" s="6">
        <f t="shared" si="6"/>
        <v>2.0409660794039879</v>
      </c>
      <c r="J291" s="86">
        <f t="shared" si="7"/>
        <v>-9.3860138975842124E-4</v>
      </c>
    </row>
    <row r="292" spans="1:10" x14ac:dyDescent="0.3">
      <c r="A292" s="2">
        <v>45607</v>
      </c>
      <c r="B292" s="3">
        <v>-1.2101479715156712E-2</v>
      </c>
      <c r="C292" s="3">
        <v>-1.618390336797439E-2</v>
      </c>
      <c r="D292" s="3">
        <v>8.5806907848708161E-2</v>
      </c>
      <c r="E292" s="3">
        <v>2.525386732120341E-2</v>
      </c>
      <c r="F292" s="3">
        <v>1.4341117270657754E-2</v>
      </c>
      <c r="G292" s="3">
        <v>9.6858443383637458E-4</v>
      </c>
      <c r="H292" s="3">
        <f>(Sheet1!$Y$19*' Rolling-window portfolio analy'!B292+Sheet1!$Z$19*' Rolling-window portfolio analy'!C292+Sheet1!$AA$19*' Rolling-window portfolio analy'!D292+Sheet1!$AB$19*' Rolling-window portfolio analy'!E292+Sheet1!$AC$19*' Rolling-window portfolio analy'!F292)</f>
        <v>-1.1052880424552181E-2</v>
      </c>
      <c r="I292" s="6">
        <f t="shared" si="6"/>
        <v>2.0235764058333281</v>
      </c>
      <c r="J292" s="86">
        <f t="shared" si="7"/>
        <v>-1.2788459808147398E-3</v>
      </c>
    </row>
    <row r="293" spans="1:10" x14ac:dyDescent="0.3">
      <c r="A293" s="2">
        <v>45604</v>
      </c>
      <c r="B293" s="3">
        <v>-2.2885319380029265E-3</v>
      </c>
      <c r="C293" s="3">
        <v>-8.4314687879987818E-3</v>
      </c>
      <c r="D293" s="3">
        <v>7.8697184058041839E-2</v>
      </c>
      <c r="E293" s="3">
        <v>-2.0903503140572302E-3</v>
      </c>
      <c r="F293" s="3">
        <v>1.2297527810406026E-2</v>
      </c>
      <c r="G293" s="3">
        <v>3.7498038697994338E-3</v>
      </c>
      <c r="H293" s="3">
        <f>(Sheet1!$Y$19*' Rolling-window portfolio analy'!B293+Sheet1!$Z$19*' Rolling-window portfolio analy'!C293+Sheet1!$AA$19*' Rolling-window portfolio analy'!D293+Sheet1!$AB$19*' Rolling-window portfolio analy'!E293+Sheet1!$AC$19*' Rolling-window portfolio analy'!F293)</f>
        <v>-6.1442826105036355E-3</v>
      </c>
      <c r="I293" s="6">
        <f t="shared" si="6"/>
        <v>2.0620089281019292</v>
      </c>
      <c r="J293" s="86">
        <f t="shared" si="7"/>
        <v>-1.8038770927227181E-3</v>
      </c>
    </row>
    <row r="294" spans="1:10" x14ac:dyDescent="0.3">
      <c r="A294" s="2">
        <v>45603</v>
      </c>
      <c r="B294" s="3">
        <v>2.1146945292544149E-2</v>
      </c>
      <c r="C294" s="3">
        <v>2.2208797611182083E-2</v>
      </c>
      <c r="D294" s="3">
        <v>2.862999589955675E-2</v>
      </c>
      <c r="E294" s="3">
        <v>8.3877472187006193E-3</v>
      </c>
      <c r="F294" s="3">
        <v>-3.6447988042689283E-2</v>
      </c>
      <c r="G294" s="3">
        <v>7.4037444129894632E-3</v>
      </c>
      <c r="H294" s="3">
        <f>(Sheet1!$Y$19*' Rolling-window portfolio analy'!B294+Sheet1!$Z$19*' Rolling-window portfolio analy'!C294+Sheet1!$AA$19*' Rolling-window portfolio analy'!D294+Sheet1!$AB$19*' Rolling-window portfolio analy'!E294+Sheet1!$AC$19*' Rolling-window portfolio analy'!F294)</f>
        <v>2.0645303383805901E-2</v>
      </c>
      <c r="I294" s="6">
        <f t="shared" si="6"/>
        <v>2.0658221698557218</v>
      </c>
      <c r="J294" s="86">
        <f t="shared" si="7"/>
        <v>-1.8727612670578196E-3</v>
      </c>
    </row>
    <row r="295" spans="1:10" x14ac:dyDescent="0.3">
      <c r="A295" s="2">
        <v>45602</v>
      </c>
      <c r="B295" s="3">
        <v>-3.2722982334056835E-3</v>
      </c>
      <c r="C295" s="3">
        <v>3.993245597761879E-2</v>
      </c>
      <c r="D295" s="3">
        <v>0.13759467418784069</v>
      </c>
      <c r="E295" s="3">
        <v>0.10240124241341869</v>
      </c>
      <c r="F295" s="3">
        <v>8.0720811720677382E-2</v>
      </c>
      <c r="G295" s="3">
        <v>2.4981233838896531E-2</v>
      </c>
      <c r="H295" s="3">
        <f>(Sheet1!$Y$19*' Rolling-window portfolio analy'!B295+Sheet1!$Z$19*' Rolling-window portfolio analy'!C295+Sheet1!$AA$19*' Rolling-window portfolio analy'!D295+Sheet1!$AB$19*' Rolling-window portfolio analy'!E295+Sheet1!$AC$19*' Rolling-window portfolio analy'!F295)</f>
        <v>3.5291148911224347E-2</v>
      </c>
      <c r="I295" s="6">
        <f t="shared" si="6"/>
        <v>1.9652212253142649</v>
      </c>
      <c r="J295" s="86">
        <f t="shared" si="7"/>
        <v>-2.5301955657057321E-3</v>
      </c>
    </row>
    <row r="296" spans="1:10" x14ac:dyDescent="0.3">
      <c r="A296" s="2">
        <v>45601</v>
      </c>
      <c r="B296" s="3">
        <v>6.4652494766336294E-3</v>
      </c>
      <c r="C296" s="3">
        <v>2.7976893515939023E-2</v>
      </c>
      <c r="D296" s="3">
        <v>3.4801602227078884E-2</v>
      </c>
      <c r="E296" s="3">
        <v>1.0684140720444459E-2</v>
      </c>
      <c r="F296" s="3">
        <v>1.9591009477169793E-2</v>
      </c>
      <c r="G296" s="3">
        <v>1.219106130274809E-2</v>
      </c>
      <c r="H296" s="3">
        <f>(Sheet1!$Y$19*' Rolling-window portfolio analy'!B296+Sheet1!$Z$19*' Rolling-window portfolio analy'!C296+Sheet1!$AA$19*' Rolling-window portfolio analy'!D296+Sheet1!$AB$19*' Rolling-window portfolio analy'!E296+Sheet1!$AC$19*' Rolling-window portfolio analy'!F296)</f>
        <v>2.0999295934338871E-2</v>
      </c>
      <c r="I296" s="6">
        <f t="shared" si="6"/>
        <v>1.9559571015039894</v>
      </c>
      <c r="J296" s="86">
        <f t="shared" si="7"/>
        <v>-2.6277176291271097E-3</v>
      </c>
    </row>
    <row r="297" spans="1:10" x14ac:dyDescent="0.3">
      <c r="A297" s="2">
        <v>45600</v>
      </c>
      <c r="B297" s="3">
        <v>-4.0456766500141109E-3</v>
      </c>
      <c r="C297" s="3">
        <v>4.7891047510806297E-3</v>
      </c>
      <c r="D297" s="3">
        <v>-2.4969781691406592E-2</v>
      </c>
      <c r="E297" s="3">
        <v>8.4188868736806144E-3</v>
      </c>
      <c r="F297" s="3">
        <v>-8.988764650171609E-4</v>
      </c>
      <c r="G297" s="3">
        <v>-2.8160686495115016E-3</v>
      </c>
      <c r="H297" s="3">
        <f>(Sheet1!$Y$19*' Rolling-window portfolio analy'!B297+Sheet1!$Z$19*' Rolling-window portfolio analy'!C297+Sheet1!$AA$19*' Rolling-window portfolio analy'!D297+Sheet1!$AB$19*' Rolling-window portfolio analy'!E297+Sheet1!$AC$19*' Rolling-window portfolio analy'!F297)</f>
        <v>2.8824001187454681E-3</v>
      </c>
      <c r="I297" s="6">
        <f t="shared" si="6"/>
        <v>1.9322399629670612</v>
      </c>
      <c r="J297" s="86">
        <f t="shared" si="7"/>
        <v>-2.30223379105585E-3</v>
      </c>
    </row>
    <row r="298" spans="1:10" x14ac:dyDescent="0.3">
      <c r="A298" s="2">
        <v>45597</v>
      </c>
      <c r="B298" s="3">
        <v>-1.3368587316289905E-2</v>
      </c>
      <c r="C298" s="3">
        <v>1.9690373626400793E-2</v>
      </c>
      <c r="D298" s="3">
        <v>-3.4881658365741998E-3</v>
      </c>
      <c r="E298" s="3">
        <v>-6.0582300397066481E-3</v>
      </c>
      <c r="F298" s="3">
        <v>-7.4593811491841834E-3</v>
      </c>
      <c r="G298" s="3">
        <v>4.0842263302362366E-3</v>
      </c>
      <c r="H298" s="3">
        <f>(Sheet1!$Y$19*' Rolling-window portfolio analy'!B298+Sheet1!$Z$19*' Rolling-window portfolio analy'!C298+Sheet1!$AA$19*' Rolling-window portfolio analy'!D298+Sheet1!$AB$19*' Rolling-window portfolio analy'!E298+Sheet1!$AC$19*' Rolling-window portfolio analy'!F298)</f>
        <v>8.9846156970780043E-3</v>
      </c>
      <c r="I298" s="6">
        <f t="shared" si="6"/>
        <v>1.9198320235743969</v>
      </c>
      <c r="J298" s="86">
        <f t="shared" si="7"/>
        <v>-2.0551903837273972E-3</v>
      </c>
    </row>
    <row r="299" spans="1:10" x14ac:dyDescent="0.3">
      <c r="A299" s="2">
        <v>45596</v>
      </c>
      <c r="B299" s="3">
        <v>-1.8377307172189244E-2</v>
      </c>
      <c r="C299" s="3">
        <v>-4.837400275019902E-2</v>
      </c>
      <c r="D299" s="3">
        <v>-3.0353138221380329E-2</v>
      </c>
      <c r="E299" s="3">
        <v>1.5614979175343819E-2</v>
      </c>
      <c r="F299" s="3">
        <v>2.9770787096845691E-3</v>
      </c>
      <c r="G299" s="3">
        <v>-1.8790182599519829E-2</v>
      </c>
      <c r="H299" s="3">
        <f>(Sheet1!$Y$19*' Rolling-window portfolio analy'!B299+Sheet1!$Z$19*' Rolling-window portfolio analy'!C299+Sheet1!$AA$19*' Rolling-window portfolio analy'!D299+Sheet1!$AB$19*' Rolling-window portfolio analy'!E299+Sheet1!$AC$19*' Rolling-window portfolio analy'!F299)</f>
        <v>-3.4811618772414989E-2</v>
      </c>
      <c r="I299" s="6">
        <f t="shared" si="6"/>
        <v>1.9069034219941778</v>
      </c>
      <c r="J299" s="86">
        <f t="shared" si="7"/>
        <v>-1.9684179556674303E-3</v>
      </c>
    </row>
    <row r="300" spans="1:10" x14ac:dyDescent="0.3">
      <c r="A300" s="2">
        <v>45595</v>
      </c>
      <c r="B300" s="3">
        <v>-1.5395866558646653E-2</v>
      </c>
      <c r="C300" s="3">
        <v>-1.3614380424577415E-2</v>
      </c>
      <c r="D300" s="3">
        <v>-7.6198949154538077E-3</v>
      </c>
      <c r="E300" s="3">
        <v>1.072683924632129E-2</v>
      </c>
      <c r="F300" s="3">
        <v>8.6839892931996916E-3</v>
      </c>
      <c r="G300" s="3">
        <v>-3.3056916281390038E-3</v>
      </c>
      <c r="H300" s="3">
        <f>(Sheet1!$Y$19*' Rolling-window portfolio analy'!B300+Sheet1!$Z$19*' Rolling-window portfolio analy'!C300+Sheet1!$AA$19*' Rolling-window portfolio analy'!D300+Sheet1!$AB$19*' Rolling-window portfolio analy'!E300+Sheet1!$AC$19*' Rolling-window portfolio analy'!F300)</f>
        <v>-1.1737505916134129E-2</v>
      </c>
      <c r="I300" s="6">
        <f t="shared" si="6"/>
        <v>1.8918296573145996</v>
      </c>
      <c r="J300" s="86">
        <f t="shared" si="7"/>
        <v>-1.7543547656791495E-3</v>
      </c>
    </row>
    <row r="301" spans="1:10" x14ac:dyDescent="0.3">
      <c r="A301" s="2">
        <v>45594</v>
      </c>
      <c r="B301" s="3">
        <v>1.1561437475111353E-3</v>
      </c>
      <c r="C301" s="3">
        <v>5.1815426289240412E-3</v>
      </c>
      <c r="D301" s="3">
        <v>-1.1455405617120409E-2</v>
      </c>
      <c r="E301" s="3">
        <v>-8.3233129189867142E-3</v>
      </c>
      <c r="F301" s="3">
        <v>-3.0070666291838406E-4</v>
      </c>
      <c r="G301" s="3">
        <v>1.6128426925638532E-3</v>
      </c>
      <c r="H301" s="3">
        <f>(Sheet1!$Y$19*' Rolling-window portfolio analy'!B301+Sheet1!$Z$19*' Rolling-window portfolio analy'!C301+Sheet1!$AA$19*' Rolling-window portfolio analy'!D301+Sheet1!$AB$19*' Rolling-window portfolio analy'!E301+Sheet1!$AC$19*' Rolling-window portfolio analy'!F301)</f>
        <v>2.8692413028460575E-3</v>
      </c>
      <c r="I301" s="6">
        <f t="shared" si="6"/>
        <v>1.8010152716944741</v>
      </c>
      <c r="J301" s="86">
        <f t="shared" si="7"/>
        <v>-2.5061923884577043E-3</v>
      </c>
    </row>
    <row r="302" spans="1:10" x14ac:dyDescent="0.3">
      <c r="A302" s="2">
        <v>45593</v>
      </c>
      <c r="B302" s="3">
        <v>8.5626908148752033E-3</v>
      </c>
      <c r="C302" s="3">
        <v>-7.2325352500122939E-3</v>
      </c>
      <c r="D302" s="3">
        <v>-2.5128273433907493E-2</v>
      </c>
      <c r="E302" s="3">
        <v>-3.203419717537812E-3</v>
      </c>
      <c r="F302" s="3">
        <v>-3.0061626560388678E-4</v>
      </c>
      <c r="G302" s="3">
        <v>2.6479514493707988E-3</v>
      </c>
      <c r="H302" s="3">
        <f>(Sheet1!$Y$19*' Rolling-window portfolio analy'!B302+Sheet1!$Z$19*' Rolling-window portfolio analy'!C302+Sheet1!$AA$19*' Rolling-window portfolio analy'!D302+Sheet1!$AB$19*' Rolling-window portfolio analy'!E302+Sheet1!$AC$19*' Rolling-window portfolio analy'!F302)</f>
        <v>-2.9547894358944739E-3</v>
      </c>
      <c r="I302" s="6">
        <f t="shared" si="6"/>
        <v>1.4844159874922815</v>
      </c>
      <c r="J302" s="86">
        <f t="shared" si="7"/>
        <v>-8.9593652559595734E-4</v>
      </c>
    </row>
    <row r="303" spans="1:10" x14ac:dyDescent="0.3">
      <c r="A303" s="2">
        <v>45590</v>
      </c>
      <c r="B303" s="3">
        <v>3.6365250690583951E-3</v>
      </c>
      <c r="C303" s="3">
        <v>8.0156485210877634E-3</v>
      </c>
      <c r="D303" s="3">
        <v>3.2891367163900391E-2</v>
      </c>
      <c r="E303" s="3">
        <v>1.9919904961848846E-2</v>
      </c>
      <c r="F303" s="3">
        <v>5.1228076473681097E-3</v>
      </c>
      <c r="G303" s="3">
        <v>-2.9953572187414154E-4</v>
      </c>
      <c r="H303" s="3">
        <f>(Sheet1!$Y$19*' Rolling-window portfolio analy'!B303+Sheet1!$Z$19*' Rolling-window portfolio analy'!C303+Sheet1!$AA$19*' Rolling-window portfolio analy'!D303+Sheet1!$AB$19*' Rolling-window portfolio analy'!E303+Sheet1!$AC$19*' Rolling-window portfolio analy'!F303)</f>
        <v>8.1009996378074919E-3</v>
      </c>
      <c r="I303" s="6">
        <f t="shared" si="6"/>
        <v>1.4676298528217282</v>
      </c>
      <c r="J303" s="86">
        <f t="shared" si="7"/>
        <v>-4.4551414891514361E-4</v>
      </c>
    </row>
    <row r="304" spans="1:10" x14ac:dyDescent="0.3">
      <c r="A304" s="2">
        <v>45589</v>
      </c>
      <c r="B304" s="3">
        <v>-8.2370542016678883E-4</v>
      </c>
      <c r="C304" s="3">
        <v>6.0720978079774222E-3</v>
      </c>
      <c r="D304" s="3">
        <v>0.19818692072414162</v>
      </c>
      <c r="E304" s="3">
        <v>-5.963693468049351E-3</v>
      </c>
      <c r="F304" s="3">
        <v>-1.4695121241184233E-2</v>
      </c>
      <c r="G304" s="3">
        <v>2.1434831869283494E-3</v>
      </c>
      <c r="H304" s="3">
        <f>(Sheet1!$Y$19*' Rolling-window portfolio analy'!B304+Sheet1!$Z$19*' Rolling-window portfolio analy'!C304+Sheet1!$AA$19*' Rolling-window portfolio analy'!D304+Sheet1!$AB$19*' Rolling-window portfolio analy'!E304+Sheet1!$AC$19*' Rolling-window portfolio analy'!F304)</f>
        <v>3.5639372291499521E-3</v>
      </c>
      <c r="I304" s="6">
        <f t="shared" si="6"/>
        <v>1.4752173213195969</v>
      </c>
      <c r="J304" s="86">
        <f t="shared" si="7"/>
        <v>-3.1644164231693086E-4</v>
      </c>
    </row>
    <row r="305" spans="1:10" x14ac:dyDescent="0.3">
      <c r="A305" s="2">
        <v>45588</v>
      </c>
      <c r="B305" s="3">
        <v>-2.1860199273135369E-2</v>
      </c>
      <c r="C305" s="3">
        <v>-2.8467399987712163E-2</v>
      </c>
      <c r="D305" s="3">
        <v>-2.0018276550387262E-2</v>
      </c>
      <c r="E305" s="3">
        <v>2.7954684121837516E-2</v>
      </c>
      <c r="F305" s="3">
        <v>-7.7105957340825818E-3</v>
      </c>
      <c r="G305" s="3">
        <v>-9.2337774119530536E-3</v>
      </c>
      <c r="H305" s="3">
        <f>(Sheet1!$Y$19*' Rolling-window portfolio analy'!B305+Sheet1!$Z$19*' Rolling-window portfolio analy'!C305+Sheet1!$AA$19*' Rolling-window portfolio analy'!D305+Sheet1!$AB$19*' Rolling-window portfolio analy'!E305+Sheet1!$AC$19*' Rolling-window portfolio analy'!F305)</f>
        <v>-2.1456737607393063E-2</v>
      </c>
      <c r="I305" s="6">
        <f t="shared" si="6"/>
        <v>1.4684056803728043</v>
      </c>
      <c r="J305" s="86">
        <f t="shared" si="7"/>
        <v>-7.4647855288548551E-4</v>
      </c>
    </row>
    <row r="306" spans="1:10" x14ac:dyDescent="0.3">
      <c r="A306" s="2">
        <v>45587</v>
      </c>
      <c r="B306" s="3">
        <v>-2.625229098012868E-3</v>
      </c>
      <c r="C306" s="3">
        <v>-8.3536377987001502E-4</v>
      </c>
      <c r="D306" s="3">
        <v>-4.029124996483115E-3</v>
      </c>
      <c r="E306" s="3">
        <v>-1.2978229932280283E-2</v>
      </c>
      <c r="F306" s="3">
        <v>5.6288105956241721E-3</v>
      </c>
      <c r="G306" s="3">
        <v>-4.7500338350551163E-4</v>
      </c>
      <c r="H306" s="3">
        <f>(Sheet1!$Y$19*' Rolling-window portfolio analy'!B306+Sheet1!$Z$19*' Rolling-window portfolio analy'!C306+Sheet1!$AA$19*' Rolling-window portfolio analy'!D306+Sheet1!$AB$19*' Rolling-window portfolio analy'!E306+Sheet1!$AC$19*' Rolling-window portfolio analy'!F306)</f>
        <v>-2.4381461012051406E-3</v>
      </c>
      <c r="I306" s="6">
        <f t="shared" si="6"/>
        <v>1.4769689987278365</v>
      </c>
      <c r="J306" s="86">
        <f t="shared" si="7"/>
        <v>-6.9062174576811804E-4</v>
      </c>
    </row>
    <row r="307" spans="1:10" x14ac:dyDescent="0.3">
      <c r="A307" s="2">
        <v>45586</v>
      </c>
      <c r="B307" s="3">
        <v>6.278123615677908E-3</v>
      </c>
      <c r="C307" s="3">
        <v>4.0543694928950949E-2</v>
      </c>
      <c r="D307" s="3">
        <v>-8.4177496257863849E-3</v>
      </c>
      <c r="E307" s="3">
        <v>1.3726838119723958E-3</v>
      </c>
      <c r="F307" s="3">
        <v>-1.3573533860818453E-2</v>
      </c>
      <c r="G307" s="3">
        <v>-1.8244427413090425E-3</v>
      </c>
      <c r="H307" s="3">
        <f>(Sheet1!$Y$19*' Rolling-window portfolio analy'!B307+Sheet1!$Z$19*' Rolling-window portfolio analy'!C307+Sheet1!$AA$19*' Rolling-window portfolio analy'!D307+Sheet1!$AB$19*' Rolling-window portfolio analy'!E307+Sheet1!$AC$19*' Rolling-window portfolio analy'!F307)</f>
        <v>2.8217852433201396E-2</v>
      </c>
      <c r="I307" s="6">
        <f t="shared" si="6"/>
        <v>1.4427952342866694</v>
      </c>
      <c r="J307" s="86">
        <f t="shared" si="7"/>
        <v>-3.0137749781352074E-4</v>
      </c>
    </row>
    <row r="308" spans="1:10" x14ac:dyDescent="0.3">
      <c r="A308" s="2">
        <v>45583</v>
      </c>
      <c r="B308" s="3">
        <v>1.2201799678228265E-2</v>
      </c>
      <c r="C308" s="3">
        <v>7.7838388130624554E-3</v>
      </c>
      <c r="D308" s="3">
        <v>-8.6052678604448202E-4</v>
      </c>
      <c r="E308" s="3">
        <v>-1.3100624045698206E-2</v>
      </c>
      <c r="F308" s="3">
        <v>3.0652600689957479E-2</v>
      </c>
      <c r="G308" s="3">
        <v>3.9637370431245362E-3</v>
      </c>
      <c r="H308" s="3">
        <f>(Sheet1!$Y$19*' Rolling-window portfolio analy'!B308+Sheet1!$Z$19*' Rolling-window portfolio analy'!C308+Sheet1!$AA$19*' Rolling-window portfolio analy'!D308+Sheet1!$AB$19*' Rolling-window portfolio analy'!E308+Sheet1!$AC$19*' Rolling-window portfolio analy'!F308)</f>
        <v>6.885714365069121E-3</v>
      </c>
      <c r="I308" s="6">
        <f t="shared" si="6"/>
        <v>1.4336077221894648</v>
      </c>
      <c r="J308" s="86">
        <f t="shared" si="7"/>
        <v>3.550996634060007E-5</v>
      </c>
    </row>
    <row r="309" spans="1:10" x14ac:dyDescent="0.3">
      <c r="A309" s="2">
        <v>45582</v>
      </c>
      <c r="B309" s="3">
        <v>1.5950685596858294E-3</v>
      </c>
      <c r="C309" s="3">
        <v>8.8759064281130479E-3</v>
      </c>
      <c r="D309" s="3">
        <v>-1.9899604052187403E-3</v>
      </c>
      <c r="E309" s="3">
        <v>3.8033189014134456E-3</v>
      </c>
      <c r="F309" s="3">
        <v>-6.9456146852009501E-2</v>
      </c>
      <c r="G309" s="3">
        <v>-1.7117513483320916E-4</v>
      </c>
      <c r="H309" s="3">
        <f>(Sheet1!$Y$19*' Rolling-window portfolio analy'!B309+Sheet1!$Z$19*' Rolling-window portfolio analy'!C309+Sheet1!$AA$19*' Rolling-window portfolio analy'!D309+Sheet1!$AB$19*' Rolling-window portfolio analy'!E309+Sheet1!$AC$19*' Rolling-window portfolio analy'!F309)</f>
        <v>6.5643923114556378E-3</v>
      </c>
      <c r="I309" s="6">
        <f t="shared" si="6"/>
        <v>1.4230066926485656</v>
      </c>
      <c r="J309" s="86">
        <f t="shared" si="7"/>
        <v>1.1037328499706618E-4</v>
      </c>
    </row>
    <row r="310" spans="1:10" x14ac:dyDescent="0.3">
      <c r="A310" s="2">
        <v>45581</v>
      </c>
      <c r="B310" s="3">
        <v>-8.8912382656501972E-3</v>
      </c>
      <c r="C310" s="3">
        <v>3.0826921024812545E-2</v>
      </c>
      <c r="D310" s="3">
        <v>7.9837121727083186E-3</v>
      </c>
      <c r="E310" s="3">
        <v>1.1497526053887E-2</v>
      </c>
      <c r="F310" s="3">
        <v>-8.4542769583967022E-4</v>
      </c>
      <c r="G310" s="3">
        <v>4.6681557065759915E-3</v>
      </c>
      <c r="H310" s="3">
        <f>(Sheet1!$Y$19*' Rolling-window portfolio analy'!B310+Sheet1!$Z$19*' Rolling-window portfolio analy'!C310+Sheet1!$AA$19*' Rolling-window portfolio analy'!D310+Sheet1!$AB$19*' Rolling-window portfolio analy'!E310+Sheet1!$AC$19*' Rolling-window portfolio analy'!F310)</f>
        <v>1.9074675615307464E-2</v>
      </c>
      <c r="I310" s="6">
        <f t="shared" si="6"/>
        <v>1.4399659326673662</v>
      </c>
      <c r="J310" s="86">
        <f t="shared" si="7"/>
        <v>4.7943209346502637E-4</v>
      </c>
    </row>
    <row r="311" spans="1:10" x14ac:dyDescent="0.3">
      <c r="A311" s="2">
        <v>45580</v>
      </c>
      <c r="B311" s="3">
        <v>1.0964314934501682E-2</v>
      </c>
      <c r="C311" s="3">
        <v>-4.799378403684413E-2</v>
      </c>
      <c r="D311" s="3">
        <v>1.8690316110305529E-3</v>
      </c>
      <c r="E311" s="3">
        <v>-3.543305087225343E-2</v>
      </c>
      <c r="F311" s="3">
        <v>5.9330587941913331E-3</v>
      </c>
      <c r="G311" s="3">
        <v>-7.6385090687541464E-3</v>
      </c>
      <c r="H311" s="3">
        <f>(Sheet1!$Y$19*' Rolling-window portfolio analy'!B311+Sheet1!$Z$19*' Rolling-window portfolio analy'!C311+Sheet1!$AA$19*' Rolling-window portfolio analy'!D311+Sheet1!$AB$19*' Rolling-window portfolio analy'!E311+Sheet1!$AC$19*' Rolling-window portfolio analy'!F311)</f>
        <v>-3.2049976952128537E-2</v>
      </c>
      <c r="I311" s="6">
        <f t="shared" si="6"/>
        <v>1.4861863763360992</v>
      </c>
      <c r="J311" s="86">
        <f t="shared" si="7"/>
        <v>3.8148308555153553E-4</v>
      </c>
    </row>
    <row r="312" spans="1:10" x14ac:dyDescent="0.3">
      <c r="A312" s="2">
        <v>45579</v>
      </c>
      <c r="B312" s="3">
        <v>1.6345574774742577E-2</v>
      </c>
      <c r="C312" s="3">
        <v>2.3968604449854193E-2</v>
      </c>
      <c r="D312" s="3">
        <v>6.2248461713548409E-3</v>
      </c>
      <c r="E312" s="3">
        <v>-1.8584898486191698E-3</v>
      </c>
      <c r="F312" s="3">
        <v>9.3950868998438613E-3</v>
      </c>
      <c r="G312" s="3">
        <v>7.6780609629941675E-3</v>
      </c>
      <c r="H312" s="3">
        <f>(Sheet1!$Y$19*' Rolling-window portfolio analy'!B312+Sheet1!$Z$19*' Rolling-window portfolio analy'!C312+Sheet1!$AA$19*' Rolling-window portfolio analy'!D312+Sheet1!$AB$19*' Rolling-window portfolio analy'!E312+Sheet1!$AC$19*' Rolling-window portfolio analy'!F312)</f>
        <v>1.9590730274490514E-2</v>
      </c>
      <c r="I312" s="6">
        <f t="shared" si="6"/>
        <v>1.4864673530917412</v>
      </c>
      <c r="J312" s="86">
        <f t="shared" si="7"/>
        <v>5.728328201406544E-4</v>
      </c>
    </row>
    <row r="313" spans="1:10" x14ac:dyDescent="0.3">
      <c r="A313" s="2">
        <v>45576</v>
      </c>
      <c r="B313" s="3">
        <v>-6.5266663272085766E-3</v>
      </c>
      <c r="C313" s="3">
        <v>-7.4181224765981015E-5</v>
      </c>
      <c r="D313" s="3">
        <v>-9.1923534987007532E-2</v>
      </c>
      <c r="E313" s="3">
        <v>2.3901219717202219E-3</v>
      </c>
      <c r="F313" s="3">
        <v>1.2376039385433678E-2</v>
      </c>
      <c r="G313" s="3">
        <v>6.0336118627852325E-3</v>
      </c>
      <c r="H313" s="3">
        <f>(Sheet1!$Y$19*' Rolling-window portfolio analy'!B313+Sheet1!$Z$19*' Rolling-window portfolio analy'!C313+Sheet1!$AA$19*' Rolling-window portfolio analy'!D313+Sheet1!$AB$19*' Rolling-window portfolio analy'!E313+Sheet1!$AC$19*' Rolling-window portfolio analy'!F313)</f>
        <v>-1.6116191323890495E-3</v>
      </c>
      <c r="I313" s="6">
        <f t="shared" si="6"/>
        <v>1.4710351571180156</v>
      </c>
      <c r="J313" s="86">
        <f t="shared" si="7"/>
        <v>4.307799393294642E-4</v>
      </c>
    </row>
    <row r="314" spans="1:10" x14ac:dyDescent="0.3">
      <c r="A314" s="2">
        <v>45575</v>
      </c>
      <c r="B314" s="3">
        <v>-2.1806454626626935E-3</v>
      </c>
      <c r="C314" s="3">
        <v>1.6152299119223994E-2</v>
      </c>
      <c r="D314" s="3">
        <v>-9.5036353657635842E-3</v>
      </c>
      <c r="E314" s="3">
        <v>5.3191490615825507E-4</v>
      </c>
      <c r="F314" s="3">
        <v>7.8500185059273003E-3</v>
      </c>
      <c r="G314" s="3">
        <v>-2.0722279710146596E-3</v>
      </c>
      <c r="H314" s="3">
        <f>(Sheet1!$Y$19*' Rolling-window portfolio analy'!B314+Sheet1!$Z$19*' Rolling-window portfolio analy'!C314+Sheet1!$AA$19*' Rolling-window portfolio analy'!D314+Sheet1!$AB$19*' Rolling-window portfolio analy'!E314+Sheet1!$AC$19*' Rolling-window portfolio analy'!F314)</f>
        <v>1.0064922383428144E-2</v>
      </c>
      <c r="I314" s="6">
        <f t="shared" si="6"/>
        <v>1.3762978446623206</v>
      </c>
      <c r="J314" s="86">
        <f t="shared" si="7"/>
        <v>1.1377287401159951E-3</v>
      </c>
    </row>
    <row r="315" spans="1:10" x14ac:dyDescent="0.3">
      <c r="A315" s="2">
        <v>45574</v>
      </c>
      <c r="B315" s="3">
        <v>1.6560524302640989E-2</v>
      </c>
      <c r="C315" s="3">
        <v>-1.8076377596675597E-3</v>
      </c>
      <c r="D315" s="3">
        <v>-1.4210928063295349E-2</v>
      </c>
      <c r="E315" s="3">
        <v>3.4643605601441373E-3</v>
      </c>
      <c r="F315" s="3">
        <v>1.1448826066293466E-2</v>
      </c>
      <c r="G315" s="3">
        <v>7.0882038963943272E-3</v>
      </c>
      <c r="H315" s="3">
        <f>(Sheet1!$Y$19*' Rolling-window portfolio analy'!B315+Sheet1!$Z$19*' Rolling-window portfolio analy'!C315+Sheet1!$AA$19*' Rolling-window portfolio analy'!D315+Sheet1!$AB$19*' Rolling-window portfolio analy'!E315+Sheet1!$AC$19*' Rolling-window portfolio analy'!F315)</f>
        <v>3.2378145125977436E-3</v>
      </c>
      <c r="I315" s="6">
        <f t="shared" si="6"/>
        <v>1.342724726283508</v>
      </c>
      <c r="J315" s="86">
        <f t="shared" si="7"/>
        <v>7.6624178501966253E-4</v>
      </c>
    </row>
    <row r="316" spans="1:10" x14ac:dyDescent="0.3">
      <c r="A316" s="2">
        <v>45573</v>
      </c>
      <c r="B316" s="3">
        <v>1.8236772344019592E-2</v>
      </c>
      <c r="C316" s="3">
        <v>3.9681350496835091E-2</v>
      </c>
      <c r="D316" s="3">
        <v>1.5124018522684119E-2</v>
      </c>
      <c r="E316" s="3">
        <v>-1.325927672578461E-2</v>
      </c>
      <c r="F316" s="3">
        <v>6.5166107389435061E-3</v>
      </c>
      <c r="G316" s="3">
        <v>9.6427168941927138E-3</v>
      </c>
      <c r="H316" s="3">
        <f>(Sheet1!$Y$19*' Rolling-window portfolio analy'!B316+Sheet1!$Z$19*' Rolling-window portfolio analy'!C316+Sheet1!$AA$19*' Rolling-window portfolio analy'!D316+Sheet1!$AB$19*' Rolling-window portfolio analy'!E316+Sheet1!$AC$19*' Rolling-window portfolio analy'!F316)</f>
        <v>2.9281929749221069E-2</v>
      </c>
      <c r="I316" s="6">
        <f t="shared" si="6"/>
        <v>1.3387060831594355</v>
      </c>
      <c r="J316" s="86">
        <f t="shared" si="7"/>
        <v>8.0917994460130401E-4</v>
      </c>
    </row>
    <row r="317" spans="1:10" x14ac:dyDescent="0.3">
      <c r="A317" s="2">
        <v>45572</v>
      </c>
      <c r="B317" s="3">
        <v>-2.2788562247735331E-2</v>
      </c>
      <c r="C317" s="3">
        <v>2.216683543170344E-2</v>
      </c>
      <c r="D317" s="3">
        <v>-3.7689576280923932E-2</v>
      </c>
      <c r="E317" s="3">
        <v>7.9061804091951906E-4</v>
      </c>
      <c r="F317" s="3">
        <v>-2.4656370858012793E-2</v>
      </c>
      <c r="G317" s="3">
        <v>-9.6322841074211688E-3</v>
      </c>
      <c r="H317" s="3">
        <f>(Sheet1!$Y$19*' Rolling-window portfolio analy'!B317+Sheet1!$Z$19*' Rolling-window portfolio analy'!C317+Sheet1!$AA$19*' Rolling-window portfolio analy'!D317+Sheet1!$AB$19*' Rolling-window portfolio analy'!E317+Sheet1!$AC$19*' Rolling-window portfolio analy'!F317)</f>
        <v>8.8508879511053924E-3</v>
      </c>
      <c r="I317" s="6">
        <f t="shared" si="6"/>
        <v>1.2944990716972369</v>
      </c>
      <c r="J317" s="86">
        <f t="shared" si="7"/>
        <v>9.0097662000114618E-4</v>
      </c>
    </row>
    <row r="318" spans="1:10" x14ac:dyDescent="0.3">
      <c r="A318" s="2">
        <v>45569</v>
      </c>
      <c r="B318" s="3">
        <v>4.9948166697781288E-3</v>
      </c>
      <c r="C318" s="3">
        <v>1.6709433447689864E-2</v>
      </c>
      <c r="D318" s="3">
        <v>3.8395717663150135E-2</v>
      </c>
      <c r="E318" s="3">
        <v>1.0068977490663896E-2</v>
      </c>
      <c r="F318" s="3">
        <v>1.0785704325271284E-2</v>
      </c>
      <c r="G318" s="3">
        <v>8.9302759844378885E-3</v>
      </c>
      <c r="H318" s="3">
        <f>(Sheet1!$Y$19*' Rolling-window portfolio analy'!B318+Sheet1!$Z$19*' Rolling-window portfolio analy'!C318+Sheet1!$AA$19*' Rolling-window portfolio analy'!D318+Sheet1!$AB$19*' Rolling-window portfolio analy'!E318+Sheet1!$AC$19*' Rolling-window portfolio analy'!F318)</f>
        <v>1.3205624832434804E-2</v>
      </c>
      <c r="I318" s="6">
        <f t="shared" si="6"/>
        <v>1.2805549506447154</v>
      </c>
      <c r="J318" s="86">
        <f t="shared" si="7"/>
        <v>1.1260233878035444E-3</v>
      </c>
    </row>
    <row r="319" spans="1:10" x14ac:dyDescent="0.3">
      <c r="A319" s="2">
        <v>45568</v>
      </c>
      <c r="B319" s="3">
        <v>-4.9066293598749146E-3</v>
      </c>
      <c r="C319" s="3">
        <v>3.3101905160985295E-2</v>
      </c>
      <c r="D319" s="3">
        <v>-3.4148065514250078E-2</v>
      </c>
      <c r="E319" s="3">
        <v>8.8271269960389226E-3</v>
      </c>
      <c r="F319" s="3">
        <v>-1.4643435037222121E-3</v>
      </c>
      <c r="G319" s="3">
        <v>-1.6828115331257495E-3</v>
      </c>
      <c r="H319" s="3">
        <f>(Sheet1!$Y$19*' Rolling-window portfolio analy'!B319+Sheet1!$Z$19*' Rolling-window portfolio analy'!C319+Sheet1!$AA$19*' Rolling-window portfolio analy'!D319+Sheet1!$AB$19*' Rolling-window portfolio analy'!E319+Sheet1!$AC$19*' Rolling-window portfolio analy'!F319)</f>
        <v>2.1225152171706722E-2</v>
      </c>
      <c r="I319" s="6">
        <f t="shared" ref="I319:I382" si="8">SLOPE(H260:H319,G260:G319)</f>
        <v>1.3028327205797419</v>
      </c>
      <c r="J319" s="86">
        <f t="shared" ref="J319:J382" si="9">AVERAGE(H260:H319)-($N$1+I319*(AVERAGE(G260:G319)-$N$1))</f>
        <v>1.2857903252019526E-3</v>
      </c>
    </row>
    <row r="320" spans="1:10" x14ac:dyDescent="0.3">
      <c r="A320" s="2">
        <v>45567</v>
      </c>
      <c r="B320" s="3">
        <v>2.5166131739495158E-3</v>
      </c>
      <c r="C320" s="3">
        <v>1.5688259008446757E-2</v>
      </c>
      <c r="D320" s="3">
        <v>-3.5503886772723904E-2</v>
      </c>
      <c r="E320" s="3">
        <v>1.2708025555259021E-2</v>
      </c>
      <c r="F320" s="3">
        <v>-1.0190800088026756E-2</v>
      </c>
      <c r="G320" s="3">
        <v>1.3837448536698041E-4</v>
      </c>
      <c r="H320" s="3">
        <f>(Sheet1!$Y$19*' Rolling-window portfolio analy'!B320+Sheet1!$Z$19*' Rolling-window portfolio analy'!C320+Sheet1!$AA$19*' Rolling-window portfolio analy'!D320+Sheet1!$AB$19*' Rolling-window portfolio analy'!E320+Sheet1!$AC$19*' Rolling-window portfolio analy'!F320)</f>
        <v>1.2037147879035173E-2</v>
      </c>
      <c r="I320" s="6">
        <f t="shared" si="8"/>
        <v>1.2865365554463282</v>
      </c>
      <c r="J320" s="86">
        <f t="shared" si="9"/>
        <v>1.5445755620524778E-3</v>
      </c>
    </row>
    <row r="321" spans="1:10" x14ac:dyDescent="0.3">
      <c r="A321" s="2">
        <v>45566</v>
      </c>
      <c r="B321" s="3">
        <v>-2.9574682195956357E-2</v>
      </c>
      <c r="C321" s="3">
        <v>-3.7246378849563687E-2</v>
      </c>
      <c r="D321" s="3">
        <v>-1.3894190610013485E-2</v>
      </c>
      <c r="E321" s="3">
        <v>1.6461277054071931E-2</v>
      </c>
      <c r="F321" s="3">
        <v>-2.8964518667375658E-4</v>
      </c>
      <c r="G321" s="3">
        <v>-9.3678520838370288E-3</v>
      </c>
      <c r="H321" s="3">
        <f>(Sheet1!$Y$19*' Rolling-window portfolio analy'!B321+Sheet1!$Z$19*' Rolling-window portfolio analy'!C321+Sheet1!$AA$19*' Rolling-window portfolio analy'!D321+Sheet1!$AB$19*' Rolling-window portfolio analy'!E321+Sheet1!$AC$19*' Rolling-window portfolio analy'!F321)</f>
        <v>-3.0201458461758007E-2</v>
      </c>
      <c r="I321" s="6">
        <f t="shared" si="8"/>
        <v>1.340135408343234</v>
      </c>
      <c r="J321" s="86">
        <f t="shared" si="9"/>
        <v>1.206455349641127E-3</v>
      </c>
    </row>
    <row r="322" spans="1:10" x14ac:dyDescent="0.3">
      <c r="A322" s="2">
        <v>45565</v>
      </c>
      <c r="B322" s="3">
        <v>2.2614301672448562E-2</v>
      </c>
      <c r="C322" s="3">
        <v>3.2943502192181391E-4</v>
      </c>
      <c r="D322" s="3">
        <v>4.4819933674468109E-3</v>
      </c>
      <c r="E322" s="3">
        <v>-8.2953136237543358E-4</v>
      </c>
      <c r="F322" s="3">
        <v>0</v>
      </c>
      <c r="G322" s="3">
        <v>4.227593432856073E-3</v>
      </c>
      <c r="H322" s="3">
        <f>(Sheet1!$Y$19*' Rolling-window portfolio analy'!B322+Sheet1!$Z$19*' Rolling-window portfolio analy'!C322+Sheet1!$AA$19*' Rolling-window portfolio analy'!D322+Sheet1!$AB$19*' Rolling-window portfolio analy'!E322+Sheet1!$AC$19*' Rolling-window portfolio analy'!F322)</f>
        <v>5.7688837344076673E-3</v>
      </c>
      <c r="I322" s="6">
        <f t="shared" si="8"/>
        <v>1.3644007558519411</v>
      </c>
      <c r="J322" s="86">
        <f t="shared" si="9"/>
        <v>1.323736752917275E-3</v>
      </c>
    </row>
    <row r="323" spans="1:10" x14ac:dyDescent="0.3">
      <c r="A323" s="2">
        <v>45562</v>
      </c>
      <c r="B323" s="3">
        <v>1.1860052783758518E-3</v>
      </c>
      <c r="C323" s="3">
        <v>-2.1513215606850308E-2</v>
      </c>
      <c r="D323" s="3">
        <v>2.4249264673034208E-2</v>
      </c>
      <c r="E323" s="3">
        <v>3.9751533947378938E-2</v>
      </c>
      <c r="F323" s="3">
        <v>1.8413497015496397E-2</v>
      </c>
      <c r="G323" s="3">
        <v>-1.2539688882457197E-3</v>
      </c>
      <c r="H323" s="3">
        <f>(Sheet1!$Y$19*' Rolling-window portfolio analy'!B323+Sheet1!$Z$19*' Rolling-window portfolio analy'!C323+Sheet1!$AA$19*' Rolling-window portfolio analy'!D323+Sheet1!$AB$19*' Rolling-window portfolio analy'!E323+Sheet1!$AC$19*' Rolling-window portfolio analy'!F323)</f>
        <v>-9.9736959190750065E-3</v>
      </c>
      <c r="I323" s="6">
        <f t="shared" si="8"/>
        <v>1.3446765607615681</v>
      </c>
      <c r="J323" s="86">
        <f t="shared" si="9"/>
        <v>9.5641683493223064E-4</v>
      </c>
    </row>
    <row r="324" spans="1:10" x14ac:dyDescent="0.3">
      <c r="A324" s="2">
        <v>45561</v>
      </c>
      <c r="B324" s="3">
        <v>5.0673178998415468E-3</v>
      </c>
      <c r="C324" s="3">
        <v>4.2819697823250902E-3</v>
      </c>
      <c r="D324" s="3">
        <v>-1.0953869012472139E-2</v>
      </c>
      <c r="E324" s="3">
        <v>-3.615191771118783E-2</v>
      </c>
      <c r="F324" s="3">
        <v>1.1272738772522215E-2</v>
      </c>
      <c r="G324" s="3">
        <v>4.0304808028723289E-3</v>
      </c>
      <c r="H324" s="3">
        <f>(Sheet1!$Y$19*' Rolling-window portfolio analy'!B324+Sheet1!$Z$19*' Rolling-window portfolio analy'!C324+Sheet1!$AA$19*' Rolling-window portfolio analy'!D324+Sheet1!$AB$19*' Rolling-window portfolio analy'!E324+Sheet1!$AC$19*' Rolling-window portfolio analy'!F324)</f>
        <v>6.1404976915979854E-4</v>
      </c>
      <c r="I324" s="6">
        <f t="shared" si="8"/>
        <v>1.3081070787707867</v>
      </c>
      <c r="J324" s="86">
        <f t="shared" si="9"/>
        <v>7.0067309185927514E-4</v>
      </c>
    </row>
    <row r="325" spans="1:10" x14ac:dyDescent="0.3">
      <c r="A325" s="2">
        <v>45560</v>
      </c>
      <c r="B325" s="3">
        <v>-4.407817777012997E-3</v>
      </c>
      <c r="C325" s="3">
        <v>2.1606536578557402E-2</v>
      </c>
      <c r="D325" s="3">
        <v>1.0757208310546294E-2</v>
      </c>
      <c r="E325" s="3">
        <v>-8.0121992370671639E-3</v>
      </c>
      <c r="F325" s="3">
        <v>-1.8327441752412243E-2</v>
      </c>
      <c r="G325" s="3">
        <v>-1.8629115860669923E-3</v>
      </c>
      <c r="H325" s="3">
        <f>(Sheet1!$Y$19*' Rolling-window portfolio analy'!B325+Sheet1!$Z$19*' Rolling-window portfolio analy'!C325+Sheet1!$AA$19*' Rolling-window portfolio analy'!D325+Sheet1!$AB$19*' Rolling-window portfolio analy'!E325+Sheet1!$AC$19*' Rolling-window portfolio analy'!F325)</f>
        <v>1.230788668283561E-2</v>
      </c>
      <c r="I325" s="6">
        <f t="shared" si="8"/>
        <v>1.3027621383955268</v>
      </c>
      <c r="J325" s="86">
        <f t="shared" si="9"/>
        <v>7.6084650609158999E-4</v>
      </c>
    </row>
    <row r="326" spans="1:10" x14ac:dyDescent="0.3">
      <c r="A326" s="2">
        <v>45559</v>
      </c>
      <c r="B326" s="3">
        <v>3.9661606724042875E-3</v>
      </c>
      <c r="C326" s="3">
        <v>3.8886525598161081E-2</v>
      </c>
      <c r="D326" s="3">
        <v>1.6935776706202291E-2</v>
      </c>
      <c r="E326" s="3">
        <v>-3.0223954866419999E-3</v>
      </c>
      <c r="F326" s="3">
        <v>3.5211303985787394E-3</v>
      </c>
      <c r="G326" s="3">
        <v>2.5079697029956895E-3</v>
      </c>
      <c r="H326" s="3">
        <f>(Sheet1!$Y$19*' Rolling-window portfolio analy'!B326+Sheet1!$Z$19*' Rolling-window portfolio analy'!C326+Sheet1!$AA$19*' Rolling-window portfolio analy'!D326+Sheet1!$AB$19*' Rolling-window portfolio analy'!E326+Sheet1!$AC$19*' Rolling-window portfolio analy'!F326)</f>
        <v>2.6187115209705542E-2</v>
      </c>
      <c r="I326" s="6">
        <f t="shared" si="8"/>
        <v>1.5856545525005665</v>
      </c>
      <c r="J326" s="86">
        <f t="shared" si="9"/>
        <v>5.4218982236546934E-4</v>
      </c>
    </row>
    <row r="327" spans="1:10" x14ac:dyDescent="0.3">
      <c r="A327" s="2">
        <v>45558</v>
      </c>
      <c r="B327" s="3">
        <v>-7.6099516083320351E-3</v>
      </c>
      <c r="C327" s="3">
        <v>2.2388711668398825E-3</v>
      </c>
      <c r="D327" s="3">
        <v>4.8140375327935025E-2</v>
      </c>
      <c r="E327" s="3">
        <v>1.1312025714530119E-2</v>
      </c>
      <c r="F327" s="3">
        <v>-2.6397471851024812E-2</v>
      </c>
      <c r="G327" s="3">
        <v>2.8053309143568263E-3</v>
      </c>
      <c r="H327" s="3">
        <f>(Sheet1!$Y$19*' Rolling-window portfolio analy'!B327+Sheet1!$Z$19*' Rolling-window portfolio analy'!C327+Sheet1!$AA$19*' Rolling-window portfolio analy'!D327+Sheet1!$AB$19*' Rolling-window portfolio analy'!E327+Sheet1!$AC$19*' Rolling-window portfolio analy'!F327)</f>
        <v>7.3357653009551902E-4</v>
      </c>
      <c r="I327" s="6">
        <f t="shared" si="8"/>
        <v>1.5812560675685017</v>
      </c>
      <c r="J327" s="86">
        <f t="shared" si="9"/>
        <v>4.8943307563719209E-4</v>
      </c>
    </row>
    <row r="328" spans="1:10" x14ac:dyDescent="0.3">
      <c r="A328" s="2">
        <v>45555</v>
      </c>
      <c r="B328" s="3">
        <v>-2.9317193422724623E-3</v>
      </c>
      <c r="C328" s="3">
        <v>-1.5992131132113445E-2</v>
      </c>
      <c r="D328" s="3">
        <v>-2.3519760145687744E-2</v>
      </c>
      <c r="E328" s="3">
        <v>-8.8398365691409516E-3</v>
      </c>
      <c r="F328" s="3">
        <v>3.7286720383120577E-3</v>
      </c>
      <c r="G328" s="3">
        <v>-1.942855451501775E-3</v>
      </c>
      <c r="H328" s="3">
        <f>(Sheet1!$Y$19*' Rolling-window portfolio analy'!B328+Sheet1!$Z$19*' Rolling-window portfolio analy'!C328+Sheet1!$AA$19*' Rolling-window portfolio analy'!D328+Sheet1!$AB$19*' Rolling-window portfolio analy'!E328+Sheet1!$AC$19*' Rolling-window portfolio analy'!F328)</f>
        <v>-1.2079414448529068E-2</v>
      </c>
      <c r="I328" s="6">
        <f t="shared" si="8"/>
        <v>1.6092950860376889</v>
      </c>
      <c r="J328" s="86">
        <f t="shared" si="9"/>
        <v>5.6439711643750776E-4</v>
      </c>
    </row>
    <row r="329" spans="1:10" x14ac:dyDescent="0.3">
      <c r="A329" s="2">
        <v>45554</v>
      </c>
      <c r="B329" s="3">
        <v>3.6395154910179209E-2</v>
      </c>
      <c r="C329" s="3">
        <v>3.8925516208970862E-2</v>
      </c>
      <c r="D329" s="3">
        <v>7.1009615833003012E-2</v>
      </c>
      <c r="E329" s="3">
        <v>4.7594509612346056E-2</v>
      </c>
      <c r="F329" s="3">
        <v>2.178735418490723E-2</v>
      </c>
      <c r="G329" s="3">
        <v>1.6834291247586949E-2</v>
      </c>
      <c r="H329" s="3">
        <f>(Sheet1!$Y$19*' Rolling-window portfolio analy'!B329+Sheet1!$Z$19*' Rolling-window portfolio analy'!C329+Sheet1!$AA$19*' Rolling-window portfolio analy'!D329+Sheet1!$AB$19*' Rolling-window portfolio analy'!E329+Sheet1!$AC$19*' Rolling-window portfolio analy'!F329)</f>
        <v>3.9176795655033139E-2</v>
      </c>
      <c r="I329" s="6">
        <f t="shared" si="8"/>
        <v>1.6678637986054476</v>
      </c>
      <c r="J329" s="86">
        <f t="shared" si="9"/>
        <v>9.5292630473594372E-4</v>
      </c>
    </row>
    <row r="330" spans="1:10" x14ac:dyDescent="0.3">
      <c r="A330" s="2">
        <v>45553</v>
      </c>
      <c r="B330" s="3">
        <v>1.7829858819643829E-2</v>
      </c>
      <c r="C330" s="3">
        <v>-1.9392641276668576E-2</v>
      </c>
      <c r="D330" s="3">
        <v>-2.9446040570182087E-3</v>
      </c>
      <c r="E330" s="3">
        <v>-1.7291070590504797E-3</v>
      </c>
      <c r="F330" s="3">
        <v>-5.871990773538649E-4</v>
      </c>
      <c r="G330" s="3">
        <v>-2.9006031263851696E-3</v>
      </c>
      <c r="H330" s="3">
        <f>(Sheet1!$Y$19*' Rolling-window portfolio analy'!B330+Sheet1!$Z$19*' Rolling-window portfolio analy'!C330+Sheet1!$AA$19*' Rolling-window portfolio analy'!D330+Sheet1!$AB$19*' Rolling-window portfolio analy'!E330+Sheet1!$AC$19*' Rolling-window portfolio analy'!F330)</f>
        <v>-8.4306464819242886E-3</v>
      </c>
      <c r="I330" s="6">
        <f t="shared" si="8"/>
        <v>1.6747620013327886</v>
      </c>
      <c r="J330" s="86">
        <f t="shared" si="9"/>
        <v>8.7049159867927297E-4</v>
      </c>
    </row>
    <row r="331" spans="1:10" x14ac:dyDescent="0.3">
      <c r="A331" s="2">
        <v>45552</v>
      </c>
      <c r="B331" s="3">
        <v>2.1703501858254429E-3</v>
      </c>
      <c r="C331" s="3">
        <v>-1.0242375549215622E-2</v>
      </c>
      <c r="D331" s="3">
        <v>4.7949063603207175E-3</v>
      </c>
      <c r="E331" s="3">
        <v>2.1831750512196664E-2</v>
      </c>
      <c r="F331" s="3">
        <v>7.6606149530804094E-3</v>
      </c>
      <c r="G331" s="3">
        <v>2.6447349073670164E-4</v>
      </c>
      <c r="H331" s="3">
        <f>(Sheet1!$Y$19*' Rolling-window portfolio analy'!B331+Sheet1!$Z$19*' Rolling-window portfolio analy'!C331+Sheet1!$AA$19*' Rolling-window portfolio analy'!D331+Sheet1!$AB$19*' Rolling-window portfolio analy'!E331+Sheet1!$AC$19*' Rolling-window portfolio analy'!F331)</f>
        <v>-4.0856980698037743E-3</v>
      </c>
      <c r="I331" s="6">
        <f t="shared" si="8"/>
        <v>1.6569928500198701</v>
      </c>
      <c r="J331" s="86">
        <f t="shared" si="9"/>
        <v>6.7482503499244643E-4</v>
      </c>
    </row>
    <row r="332" spans="1:10" x14ac:dyDescent="0.3">
      <c r="A332" s="2">
        <v>45551</v>
      </c>
      <c r="B332" s="3">
        <v>-2.8168308751695719E-2</v>
      </c>
      <c r="C332" s="3">
        <v>-1.9671653505862762E-2</v>
      </c>
      <c r="D332" s="3">
        <v>-1.5358999716231014E-2</v>
      </c>
      <c r="E332" s="3">
        <v>1.7216216261131137E-2</v>
      </c>
      <c r="F332" s="3">
        <v>8.6143411059122228E-3</v>
      </c>
      <c r="G332" s="3">
        <v>1.2558720767880025E-3</v>
      </c>
      <c r="H332" s="3">
        <f>(Sheet1!$Y$19*' Rolling-window portfolio analy'!B332+Sheet1!$Z$19*' Rolling-window portfolio analy'!C332+Sheet1!$AA$19*' Rolling-window portfolio analy'!D332+Sheet1!$AB$19*' Rolling-window portfolio analy'!E332+Sheet1!$AC$19*' Rolling-window portfolio analy'!F332)</f>
        <v>-1.8277589737863548E-2</v>
      </c>
      <c r="I332" s="6">
        <f t="shared" si="8"/>
        <v>1.6363679587560356</v>
      </c>
      <c r="J332" s="86">
        <f t="shared" si="9"/>
        <v>5.6383968704958455E-4</v>
      </c>
    </row>
    <row r="333" spans="1:10" x14ac:dyDescent="0.3">
      <c r="A333" s="2">
        <v>45548</v>
      </c>
      <c r="B333" s="3">
        <v>-1.2127474704876769E-3</v>
      </c>
      <c r="C333" s="3">
        <v>-3.3579583928697982E-4</v>
      </c>
      <c r="D333" s="3">
        <v>2.0865036911101361E-3</v>
      </c>
      <c r="E333" s="3">
        <v>3.2988483957211074E-3</v>
      </c>
      <c r="F333" s="3">
        <v>2.0904890396448998E-3</v>
      </c>
      <c r="G333" s="3">
        <v>5.3930968783714164E-3</v>
      </c>
      <c r="H333" s="3">
        <f>(Sheet1!$Y$19*' Rolling-window portfolio analy'!B333+Sheet1!$Z$19*' Rolling-window portfolio analy'!C333+Sheet1!$AA$19*' Rolling-window portfolio analy'!D333+Sheet1!$AB$19*' Rolling-window portfolio analy'!E333+Sheet1!$AC$19*' Rolling-window portfolio analy'!F333)</f>
        <v>-2.0470004401860087E-4</v>
      </c>
      <c r="I333" s="6">
        <f t="shared" si="8"/>
        <v>1.6132756076237427</v>
      </c>
      <c r="J333" s="86">
        <f t="shared" si="9"/>
        <v>4.8497055536024687E-4</v>
      </c>
    </row>
    <row r="334" spans="1:10" x14ac:dyDescent="0.3">
      <c r="A334" s="2">
        <v>45547</v>
      </c>
      <c r="B334" s="3">
        <v>4.9390477622147076E-4</v>
      </c>
      <c r="C334" s="3">
        <v>1.8894864181813922E-2</v>
      </c>
      <c r="D334" s="3">
        <v>7.3372386640312409E-3</v>
      </c>
      <c r="E334" s="3">
        <v>1.0872955198660621E-2</v>
      </c>
      <c r="F334" s="3">
        <v>4.4943895878394886E-3</v>
      </c>
      <c r="G334" s="3">
        <v>7.46737294203047E-3</v>
      </c>
      <c r="H334" s="3">
        <f>(Sheet1!$Y$19*' Rolling-window portfolio analy'!B334+Sheet1!$Z$19*' Rolling-window portfolio analy'!C334+Sheet1!$AA$19*' Rolling-window portfolio analy'!D334+Sheet1!$AB$19*' Rolling-window portfolio analy'!E334+Sheet1!$AC$19*' Rolling-window portfolio analy'!F334)</f>
        <v>1.3536939988575679E-2</v>
      </c>
      <c r="I334" s="6">
        <f t="shared" si="8"/>
        <v>1.6229286921013071</v>
      </c>
      <c r="J334" s="86">
        <f t="shared" si="9"/>
        <v>8.0991697980594161E-4</v>
      </c>
    </row>
    <row r="335" spans="1:10" x14ac:dyDescent="0.3">
      <c r="A335" s="2">
        <v>45546</v>
      </c>
      <c r="B335" s="3">
        <v>1.1518522906548473E-2</v>
      </c>
      <c r="C335" s="3">
        <v>7.8347683373565069E-2</v>
      </c>
      <c r="D335" s="3">
        <v>8.628713013063425E-3</v>
      </c>
      <c r="E335" s="3">
        <v>-7.2617565706882096E-3</v>
      </c>
      <c r="F335" s="3">
        <v>-6.2865047628209488E-3</v>
      </c>
      <c r="G335" s="3">
        <v>1.0608580303038784E-2</v>
      </c>
      <c r="H335" s="3">
        <f>(Sheet1!$Y$19*' Rolling-window portfolio analy'!B335+Sheet1!$Z$19*' Rolling-window portfolio analy'!C335+Sheet1!$AA$19*' Rolling-window portfolio analy'!D335+Sheet1!$AB$19*' Rolling-window portfolio analy'!E335+Sheet1!$AC$19*' Rolling-window portfolio analy'!F335)</f>
        <v>5.3481011054812684E-2</v>
      </c>
      <c r="I335" s="6">
        <f t="shared" si="8"/>
        <v>1.7413145338616849</v>
      </c>
      <c r="J335" s="86">
        <f t="shared" si="9"/>
        <v>1.1875487724892953E-3</v>
      </c>
    </row>
    <row r="336" spans="1:10" x14ac:dyDescent="0.3">
      <c r="A336" s="2">
        <v>45545</v>
      </c>
      <c r="B336" s="3">
        <v>-3.6279573600808664E-3</v>
      </c>
      <c r="C336" s="3">
        <v>1.5193469318647681E-2</v>
      </c>
      <c r="D336" s="3">
        <v>4.4759301807123231E-2</v>
      </c>
      <c r="E336" s="3">
        <v>-1.5555204459500357E-2</v>
      </c>
      <c r="F336" s="3">
        <v>-7.4327679785373612E-3</v>
      </c>
      <c r="G336" s="3">
        <v>4.4626607244902189E-3</v>
      </c>
      <c r="H336" s="3">
        <f>(Sheet1!$Y$19*' Rolling-window portfolio analy'!B336+Sheet1!$Z$19*' Rolling-window portfolio analy'!C336+Sheet1!$AA$19*' Rolling-window portfolio analy'!D336+Sheet1!$AB$19*' Rolling-window portfolio analy'!E336+Sheet1!$AC$19*' Rolling-window portfolio analy'!F336)</f>
        <v>7.6496876371466979E-3</v>
      </c>
      <c r="I336" s="6">
        <f t="shared" si="8"/>
        <v>1.7260523358946658</v>
      </c>
      <c r="J336" s="86">
        <f t="shared" si="9"/>
        <v>1.0446053123533022E-3</v>
      </c>
    </row>
    <row r="337" spans="1:10" x14ac:dyDescent="0.3">
      <c r="A337" s="2">
        <v>45544</v>
      </c>
      <c r="B337" s="3">
        <v>4.0748874310253498E-4</v>
      </c>
      <c r="C337" s="3">
        <v>3.4786116085415604E-2</v>
      </c>
      <c r="D337" s="3">
        <v>2.5949933875475499E-2</v>
      </c>
      <c r="E337" s="3">
        <v>-7.3932023876187043E-3</v>
      </c>
      <c r="F337" s="3">
        <v>1.1619376964473654E-2</v>
      </c>
      <c r="G337" s="3">
        <v>1.1513555690021488E-2</v>
      </c>
      <c r="H337" s="3">
        <f>(Sheet1!$Y$19*' Rolling-window portfolio analy'!B337+Sheet1!$Z$19*' Rolling-window portfolio analy'!C337+Sheet1!$AA$19*' Rolling-window portfolio analy'!D337+Sheet1!$AB$19*' Rolling-window portfolio analy'!E337+Sheet1!$AC$19*' Rolling-window portfolio analy'!F337)</f>
        <v>2.2219561660190561E-2</v>
      </c>
      <c r="I337" s="6">
        <f t="shared" si="8"/>
        <v>1.7354341177373092</v>
      </c>
      <c r="J337" s="86">
        <f t="shared" si="9"/>
        <v>9.0181664022655423E-4</v>
      </c>
    </row>
    <row r="338" spans="1:10" x14ac:dyDescent="0.3">
      <c r="A338" s="2">
        <v>45541</v>
      </c>
      <c r="B338" s="3">
        <v>-7.0397402641122122E-3</v>
      </c>
      <c r="C338" s="3">
        <v>-4.1712388627049075E-2</v>
      </c>
      <c r="D338" s="3">
        <v>-8.8240473126481173E-2</v>
      </c>
      <c r="E338" s="3">
        <v>-4.9963366244741396E-3</v>
      </c>
      <c r="F338" s="3">
        <v>-1.9291294204433242E-2</v>
      </c>
      <c r="G338" s="3">
        <v>-1.7410901670867562E-2</v>
      </c>
      <c r="H338" s="3">
        <f>(Sheet1!$Y$19*' Rolling-window portfolio analy'!B338+Sheet1!$Z$19*' Rolling-window portfolio analy'!C338+Sheet1!$AA$19*' Rolling-window portfolio analy'!D338+Sheet1!$AB$19*' Rolling-window portfolio analy'!E338+Sheet1!$AC$19*' Rolling-window portfolio analy'!F338)</f>
        <v>-2.9691377532044455E-2</v>
      </c>
      <c r="I338" s="6">
        <f t="shared" si="8"/>
        <v>1.7373777578982539</v>
      </c>
      <c r="J338" s="86">
        <f t="shared" si="9"/>
        <v>9.1774590059601939E-4</v>
      </c>
    </row>
    <row r="339" spans="1:10" x14ac:dyDescent="0.3">
      <c r="A339" s="2">
        <v>45540</v>
      </c>
      <c r="B339" s="3">
        <v>6.9038922325676197E-3</v>
      </c>
      <c r="C339" s="3">
        <v>9.371261534700203E-3</v>
      </c>
      <c r="D339" s="3">
        <v>4.7876040681744086E-2</v>
      </c>
      <c r="E339" s="3">
        <v>1.4669211960121392E-3</v>
      </c>
      <c r="F339" s="3">
        <v>-2.439145312415901E-2</v>
      </c>
      <c r="G339" s="3">
        <v>-3.0226412501879545E-3</v>
      </c>
      <c r="H339" s="3">
        <f>(Sheet1!$Y$19*' Rolling-window portfolio analy'!B339+Sheet1!$Z$19*' Rolling-window portfolio analy'!C339+Sheet1!$AA$19*' Rolling-window portfolio analy'!D339+Sheet1!$AB$19*' Rolling-window portfolio analy'!E339+Sheet1!$AC$19*' Rolling-window portfolio analy'!F339)</f>
        <v>8.0776921983300824E-3</v>
      </c>
      <c r="I339" s="6">
        <f t="shared" si="8"/>
        <v>1.7111147002247158</v>
      </c>
      <c r="J339" s="86">
        <f t="shared" si="9"/>
        <v>1.0464086137619245E-3</v>
      </c>
    </row>
    <row r="340" spans="1:10" x14ac:dyDescent="0.3">
      <c r="A340" s="2">
        <v>45539</v>
      </c>
      <c r="B340" s="3">
        <v>-8.6561110342471426E-3</v>
      </c>
      <c r="C340" s="3">
        <v>-1.6712960790771555E-2</v>
      </c>
      <c r="D340" s="3">
        <v>4.0981525953983355E-2</v>
      </c>
      <c r="E340" s="3">
        <v>2.0573115265176698E-3</v>
      </c>
      <c r="F340" s="3">
        <v>8.0645598367304946E-3</v>
      </c>
      <c r="G340" s="3">
        <v>-1.6037653903594354E-3</v>
      </c>
      <c r="H340" s="3">
        <f>(Sheet1!$Y$19*' Rolling-window portfolio analy'!B340+Sheet1!$Z$19*' Rolling-window portfolio analy'!C340+Sheet1!$AA$19*' Rolling-window portfolio analy'!D340+Sheet1!$AB$19*' Rolling-window portfolio analy'!E340+Sheet1!$AC$19*' Rolling-window portfolio analy'!F340)</f>
        <v>-1.2824161990134792E-2</v>
      </c>
      <c r="I340" s="6">
        <f t="shared" si="8"/>
        <v>1.7183298721126106</v>
      </c>
      <c r="J340" s="86">
        <f t="shared" si="9"/>
        <v>8.8719524116367965E-4</v>
      </c>
    </row>
    <row r="341" spans="1:10" x14ac:dyDescent="0.3">
      <c r="A341" s="2">
        <v>45538</v>
      </c>
      <c r="B341" s="3">
        <v>-2.7582154477457006E-2</v>
      </c>
      <c r="C341" s="3">
        <v>-0.10009668598272735</v>
      </c>
      <c r="D341" s="3">
        <v>-1.6529301951210697E-2</v>
      </c>
      <c r="E341" s="3">
        <v>-3.4127082777866413E-2</v>
      </c>
      <c r="F341" s="3">
        <v>9.0051443686267607E-3</v>
      </c>
      <c r="G341" s="3">
        <v>-2.137801245458143E-2</v>
      </c>
      <c r="H341" s="3">
        <f>(Sheet1!$Y$19*' Rolling-window portfolio analy'!B341+Sheet1!$Z$19*' Rolling-window portfolio analy'!C341+Sheet1!$AA$19*' Rolling-window portfolio analy'!D341+Sheet1!$AB$19*' Rolling-window portfolio analy'!E341+Sheet1!$AC$19*' Rolling-window portfolio analy'!F341)</f>
        <v>-7.5654094424289345E-2</v>
      </c>
      <c r="I341" s="6">
        <f t="shared" si="8"/>
        <v>1.9662454655130046</v>
      </c>
      <c r="J341" s="86">
        <f t="shared" si="9"/>
        <v>9.0884585460817039E-5</v>
      </c>
    </row>
    <row r="342" spans="1:10" x14ac:dyDescent="0.3">
      <c r="A342" s="2">
        <v>45534</v>
      </c>
      <c r="B342" s="3">
        <v>-3.4438448126052909E-3</v>
      </c>
      <c r="C342" s="3">
        <v>1.5023915271622633E-2</v>
      </c>
      <c r="D342" s="3">
        <v>3.7255432468327625E-2</v>
      </c>
      <c r="E342" s="3">
        <v>-2.555730483832926E-3</v>
      </c>
      <c r="F342" s="3">
        <v>9.6760760804374037E-3</v>
      </c>
      <c r="G342" s="3">
        <v>1.0042467382856683E-2</v>
      </c>
      <c r="H342" s="3">
        <f>(Sheet1!$Y$19*' Rolling-window portfolio analy'!B342+Sheet1!$Z$19*' Rolling-window portfolio analy'!C342+Sheet1!$AA$19*' Rolling-window portfolio analy'!D342+Sheet1!$AB$19*' Rolling-window portfolio analy'!E342+Sheet1!$AC$19*' Rolling-window portfolio analy'!F342)</f>
        <v>8.8040065506212409E-3</v>
      </c>
      <c r="I342" s="6">
        <f t="shared" si="8"/>
        <v>1.9567559297494679</v>
      </c>
      <c r="J342" s="86">
        <f t="shared" si="9"/>
        <v>4.5444178746422738E-4</v>
      </c>
    </row>
    <row r="343" spans="1:10" x14ac:dyDescent="0.3">
      <c r="A343" s="2">
        <v>45533</v>
      </c>
      <c r="B343" s="3">
        <v>1.4465054528776243E-2</v>
      </c>
      <c r="C343" s="3">
        <v>-6.597787086383719E-2</v>
      </c>
      <c r="D343" s="3">
        <v>2.5726296255790958E-3</v>
      </c>
      <c r="E343" s="3">
        <v>8.5446261823894035E-3</v>
      </c>
      <c r="F343" s="3">
        <v>6.5031266724255837E-3</v>
      </c>
      <c r="G343" s="3">
        <v>-3.934142455813639E-5</v>
      </c>
      <c r="H343" s="3">
        <f>(Sheet1!$Y$19*' Rolling-window portfolio analy'!B343+Sheet1!$Z$19*' Rolling-window portfolio analy'!C343+Sheet1!$AA$19*' Rolling-window portfolio analy'!D343+Sheet1!$AB$19*' Rolling-window portfolio analy'!E343+Sheet1!$AC$19*' Rolling-window portfolio analy'!F343)</f>
        <v>-3.8779527912507175E-2</v>
      </c>
      <c r="I343" s="6">
        <f t="shared" si="8"/>
        <v>1.9864132966097316</v>
      </c>
      <c r="J343" s="86">
        <f t="shared" si="9"/>
        <v>2.5020995190705073E-4</v>
      </c>
    </row>
    <row r="344" spans="1:10" x14ac:dyDescent="0.3">
      <c r="A344" s="2">
        <v>45532</v>
      </c>
      <c r="B344" s="3">
        <v>-6.7764054079900871E-3</v>
      </c>
      <c r="C344" s="3">
        <v>-2.1189402922429205E-2</v>
      </c>
      <c r="D344" s="3">
        <v>-1.6676692638377802E-2</v>
      </c>
      <c r="E344" s="3">
        <v>-1.2507269352394008E-2</v>
      </c>
      <c r="F344" s="3">
        <v>4.1604814842598854E-3</v>
      </c>
      <c r="G344" s="3">
        <v>-5.9939669454233853E-3</v>
      </c>
      <c r="H344" s="3">
        <f>(Sheet1!$Y$19*' Rolling-window portfolio analy'!B344+Sheet1!$Z$19*' Rolling-window portfolio analy'!C344+Sheet1!$AA$19*' Rolling-window portfolio analy'!D344+Sheet1!$AB$19*' Rolling-window portfolio analy'!E344+Sheet1!$AC$19*' Rolling-window portfolio analy'!F344)</f>
        <v>-1.6773362922704475E-2</v>
      </c>
      <c r="I344" s="6">
        <f t="shared" si="8"/>
        <v>2.0032052035532621</v>
      </c>
      <c r="J344" s="86">
        <f t="shared" si="9"/>
        <v>2.6451530042001536E-4</v>
      </c>
    </row>
    <row r="345" spans="1:10" x14ac:dyDescent="0.3">
      <c r="A345" s="2">
        <v>45531</v>
      </c>
      <c r="B345" s="3">
        <v>3.7345444427833042E-3</v>
      </c>
      <c r="C345" s="3">
        <v>1.4445218991123788E-2</v>
      </c>
      <c r="D345" s="3">
        <v>-1.8939063311356526E-2</v>
      </c>
      <c r="E345" s="3">
        <v>-8.4709873765188664E-4</v>
      </c>
      <c r="F345" s="3">
        <v>-2.6765815235884277E-3</v>
      </c>
      <c r="G345" s="3">
        <v>1.5939320118754585E-3</v>
      </c>
      <c r="H345" s="3">
        <f>(Sheet1!$Y$19*' Rolling-window portfolio analy'!B345+Sheet1!$Z$19*' Rolling-window portfolio analy'!C345+Sheet1!$AA$19*' Rolling-window portfolio analy'!D345+Sheet1!$AB$19*' Rolling-window portfolio analy'!E345+Sheet1!$AC$19*' Rolling-window portfolio analy'!F345)</f>
        <v>1.0270472050705508E-2</v>
      </c>
      <c r="I345" s="6">
        <f t="shared" si="8"/>
        <v>2.0042706951726039</v>
      </c>
      <c r="J345" s="86">
        <f t="shared" si="9"/>
        <v>4.0095862898434321E-4</v>
      </c>
    </row>
    <row r="346" spans="1:10" x14ac:dyDescent="0.3">
      <c r="A346" s="2">
        <v>45530</v>
      </c>
      <c r="B346" s="3">
        <v>1.497731657448228E-3</v>
      </c>
      <c r="C346" s="3">
        <v>-2.2750463299343521E-2</v>
      </c>
      <c r="D346" s="3">
        <v>-3.2803439473431117E-2</v>
      </c>
      <c r="E346" s="3">
        <v>5.9448158093206071E-3</v>
      </c>
      <c r="F346" s="3">
        <v>-5.9382424547832296E-4</v>
      </c>
      <c r="G346" s="3">
        <v>-3.1587066155747872E-3</v>
      </c>
      <c r="H346" s="3">
        <f>(Sheet1!$Y$19*' Rolling-window portfolio analy'!B346+Sheet1!$Z$19*' Rolling-window portfolio analy'!C346+Sheet1!$AA$19*' Rolling-window portfolio analy'!D346+Sheet1!$AB$19*' Rolling-window portfolio analy'!E346+Sheet1!$AC$19*' Rolling-window portfolio analy'!F346)</f>
        <v>-1.4016535823786286E-2</v>
      </c>
      <c r="I346" s="6">
        <f t="shared" si="8"/>
        <v>1.9928996232155449</v>
      </c>
      <c r="J346" s="86">
        <f t="shared" si="9"/>
        <v>-1.0769981755007836E-4</v>
      </c>
    </row>
    <row r="347" spans="1:10" x14ac:dyDescent="0.3">
      <c r="A347" s="2">
        <v>45527</v>
      </c>
      <c r="B347" s="3">
        <v>1.0235594601717834E-2</v>
      </c>
      <c r="C347" s="3">
        <v>4.449392582696797E-2</v>
      </c>
      <c r="D347" s="3">
        <v>4.4835575571948907E-2</v>
      </c>
      <c r="E347" s="3">
        <v>1.7182553319996963E-2</v>
      </c>
      <c r="F347" s="3">
        <v>1.3747975051958679E-2</v>
      </c>
      <c r="G347" s="3">
        <v>1.1417986208502448E-2</v>
      </c>
      <c r="H347" s="3">
        <f>(Sheet1!$Y$19*' Rolling-window portfolio analy'!B347+Sheet1!$Z$19*' Rolling-window portfolio analy'!C347+Sheet1!$AA$19*' Rolling-window portfolio analy'!D347+Sheet1!$AB$19*' Rolling-window portfolio analy'!E347+Sheet1!$AC$19*' Rolling-window portfolio analy'!F347)</f>
        <v>3.3384317021327263E-2</v>
      </c>
      <c r="I347" s="6">
        <f t="shared" si="8"/>
        <v>2.0323085796427112</v>
      </c>
      <c r="J347" s="86">
        <f t="shared" si="9"/>
        <v>2.5105191783908161E-4</v>
      </c>
    </row>
    <row r="348" spans="1:10" x14ac:dyDescent="0.3">
      <c r="A348" s="2">
        <v>45526</v>
      </c>
      <c r="B348" s="3">
        <v>-8.2940177849183654E-3</v>
      </c>
      <c r="C348" s="3">
        <v>-3.7746314232431778E-2</v>
      </c>
      <c r="D348" s="3">
        <v>-5.8136342001949864E-2</v>
      </c>
      <c r="E348" s="3">
        <v>4.9225522883954128E-3</v>
      </c>
      <c r="F348" s="3">
        <v>-1.67118183596957E-2</v>
      </c>
      <c r="G348" s="3">
        <v>-8.9729494254644684E-3</v>
      </c>
      <c r="H348" s="3">
        <f>(Sheet1!$Y$19*' Rolling-window portfolio analy'!B348+Sheet1!$Z$19*' Rolling-window portfolio analy'!C348+Sheet1!$AA$19*' Rolling-window portfolio analy'!D348+Sheet1!$AB$19*' Rolling-window portfolio analy'!E348+Sheet1!$AC$19*' Rolling-window portfolio analy'!F348)</f>
        <v>-2.6411419728457553E-2</v>
      </c>
      <c r="I348" s="6">
        <f t="shared" si="8"/>
        <v>2.058805353894237</v>
      </c>
      <c r="J348" s="86">
        <f t="shared" si="9"/>
        <v>7.1837887775347102E-5</v>
      </c>
    </row>
    <row r="349" spans="1:10" x14ac:dyDescent="0.3">
      <c r="A349" s="2">
        <v>45525</v>
      </c>
      <c r="B349" s="3">
        <v>-4.8574772984859386E-4</v>
      </c>
      <c r="C349" s="3">
        <v>9.7752489046424654E-3</v>
      </c>
      <c r="D349" s="3">
        <v>9.7667135469450394E-3</v>
      </c>
      <c r="E349" s="3">
        <v>6.9909984701543772E-3</v>
      </c>
      <c r="F349" s="3">
        <v>6.2342490768039476E-3</v>
      </c>
      <c r="G349" s="3">
        <v>4.2307182841846242E-3</v>
      </c>
      <c r="H349" s="3">
        <f>(Sheet1!$Y$19*' Rolling-window portfolio analy'!B349+Sheet1!$Z$19*' Rolling-window portfolio analy'!C349+Sheet1!$AA$19*' Rolling-window portfolio analy'!D349+Sheet1!$AB$19*' Rolling-window portfolio analy'!E349+Sheet1!$AC$19*' Rolling-window portfolio analy'!F349)</f>
        <v>6.9593861150564311E-3</v>
      </c>
      <c r="I349" s="6">
        <f t="shared" si="8"/>
        <v>2.0928027103799405</v>
      </c>
      <c r="J349" s="86">
        <f t="shared" si="9"/>
        <v>-2.9352252269263641E-4</v>
      </c>
    </row>
    <row r="350" spans="1:10" x14ac:dyDescent="0.3">
      <c r="A350" s="2">
        <v>45524</v>
      </c>
      <c r="B350" s="3">
        <v>2.7409389396927126E-3</v>
      </c>
      <c r="C350" s="3">
        <v>-2.1380795024950331E-2</v>
      </c>
      <c r="D350" s="3">
        <v>-7.3002892826542036E-3</v>
      </c>
      <c r="E350" s="3">
        <v>-2.7391073827462798E-2</v>
      </c>
      <c r="F350" s="3">
        <v>-1.7851834553526049E-3</v>
      </c>
      <c r="G350" s="3">
        <v>-1.9865481747165059E-3</v>
      </c>
      <c r="H350" s="3">
        <f>(Sheet1!$Y$19*' Rolling-window portfolio analy'!B350+Sheet1!$Z$19*' Rolling-window portfolio analy'!C350+Sheet1!$AA$19*' Rolling-window portfolio analy'!D350+Sheet1!$AB$19*' Rolling-window portfolio analy'!E350+Sheet1!$AC$19*' Rolling-window portfolio analy'!F350)</f>
        <v>-1.5926742406857979E-2</v>
      </c>
      <c r="I350" s="6">
        <f t="shared" si="8"/>
        <v>2.0999793339440549</v>
      </c>
      <c r="J350" s="86">
        <f t="shared" si="9"/>
        <v>-3.3324147662484481E-4</v>
      </c>
    </row>
    <row r="351" spans="1:10" x14ac:dyDescent="0.3">
      <c r="A351" s="2">
        <v>45523</v>
      </c>
      <c r="B351" s="3">
        <v>-7.0805862143046461E-4</v>
      </c>
      <c r="C351" s="3">
        <v>4.2586370629583002E-2</v>
      </c>
      <c r="D351" s="3">
        <v>3.0081568170189778E-2</v>
      </c>
      <c r="E351" s="3">
        <v>6.2767681110656439E-3</v>
      </c>
      <c r="F351" s="3">
        <v>6.5613119374995201E-3</v>
      </c>
      <c r="G351" s="3">
        <v>9.6753274361777754E-3</v>
      </c>
      <c r="H351" s="3">
        <f>(Sheet1!$Y$19*' Rolling-window portfolio analy'!B351+Sheet1!$Z$19*' Rolling-window portfolio analy'!C351+Sheet1!$AA$19*' Rolling-window portfolio analy'!D351+Sheet1!$AB$19*' Rolling-window portfolio analy'!E351+Sheet1!$AC$19*' Rolling-window portfolio analy'!F351)</f>
        <v>2.8352763725819748E-2</v>
      </c>
      <c r="I351" s="6">
        <f t="shared" si="8"/>
        <v>2.1399822219886167</v>
      </c>
      <c r="J351" s="86">
        <f t="shared" si="9"/>
        <v>-5.5340273131379309E-4</v>
      </c>
    </row>
    <row r="352" spans="1:10" x14ac:dyDescent="0.3">
      <c r="A352" s="2">
        <v>45520</v>
      </c>
      <c r="B352" s="3">
        <v>5.9010309446258903E-3</v>
      </c>
      <c r="C352" s="3">
        <v>1.3902584090218092E-2</v>
      </c>
      <c r="D352" s="3">
        <v>9.2038022457412161E-3</v>
      </c>
      <c r="E352" s="3">
        <v>-3.9988627980718497E-3</v>
      </c>
      <c r="F352" s="3">
        <v>-6.2640025849306277E-3</v>
      </c>
      <c r="G352" s="3">
        <v>1.9878411263283945E-3</v>
      </c>
      <c r="H352" s="3">
        <f>(Sheet1!$Y$19*' Rolling-window portfolio analy'!B352+Sheet1!$Z$19*' Rolling-window portfolio analy'!C352+Sheet1!$AA$19*' Rolling-window portfolio analy'!D352+Sheet1!$AB$19*' Rolling-window portfolio analy'!E352+Sheet1!$AC$19*' Rolling-window portfolio analy'!F352)</f>
        <v>1.020607002492605E-2</v>
      </c>
      <c r="I352" s="6">
        <f t="shared" si="8"/>
        <v>2.1400758712775736</v>
      </c>
      <c r="J352" s="86">
        <f t="shared" si="9"/>
        <v>-2.3554749487147628E-4</v>
      </c>
    </row>
    <row r="353" spans="1:10" x14ac:dyDescent="0.3">
      <c r="A353" s="2">
        <v>45519</v>
      </c>
      <c r="B353" s="3">
        <v>1.3439858244384291E-2</v>
      </c>
      <c r="C353" s="3">
        <v>3.9683134883619096E-2</v>
      </c>
      <c r="D353" s="3">
        <v>6.1436336242655147E-2</v>
      </c>
      <c r="E353" s="3">
        <v>9.4515954931811298E-3</v>
      </c>
      <c r="F353" s="3">
        <v>8.0609482616322854E-3</v>
      </c>
      <c r="G353" s="3">
        <v>1.6004444012785939E-2</v>
      </c>
      <c r="H353" s="3">
        <f>(Sheet1!$Y$19*' Rolling-window portfolio analy'!B353+Sheet1!$Z$19*' Rolling-window portfolio analy'!C353+Sheet1!$AA$19*' Rolling-window portfolio analy'!D353+Sheet1!$AB$19*' Rolling-window portfolio analy'!E353+Sheet1!$AC$19*' Rolling-window portfolio analy'!F353)</f>
        <v>3.0328554404340676E-2</v>
      </c>
      <c r="I353" s="6">
        <f t="shared" si="8"/>
        <v>2.135065050055398</v>
      </c>
      <c r="J353" s="86">
        <f t="shared" si="9"/>
        <v>-5.7993592584803383E-5</v>
      </c>
    </row>
    <row r="354" spans="1:10" x14ac:dyDescent="0.3">
      <c r="A354" s="2">
        <v>45518</v>
      </c>
      <c r="B354" s="3">
        <v>2.0316492687641797E-3</v>
      </c>
      <c r="C354" s="3">
        <v>1.6566000908258448E-2</v>
      </c>
      <c r="D354" s="3">
        <v>-3.1526767343513E-2</v>
      </c>
      <c r="E354" s="3">
        <v>-2.0123623292418748E-3</v>
      </c>
      <c r="F354" s="3">
        <v>4.2054733053971559E-3</v>
      </c>
      <c r="G354" s="3">
        <v>3.816476067632372E-3</v>
      </c>
      <c r="H354" s="3">
        <f>(Sheet1!$Y$19*' Rolling-window portfolio analy'!B354+Sheet1!$Z$19*' Rolling-window portfolio analy'!C354+Sheet1!$AA$19*' Rolling-window portfolio analy'!D354+Sheet1!$AB$19*' Rolling-window portfolio analy'!E354+Sheet1!$AC$19*' Rolling-window portfolio analy'!F354)</f>
        <v>1.1101979160138198E-2</v>
      </c>
      <c r="I354" s="6">
        <f t="shared" si="8"/>
        <v>2.1293435197147885</v>
      </c>
      <c r="J354" s="86">
        <f t="shared" si="9"/>
        <v>-8.200891657236288E-5</v>
      </c>
    </row>
    <row r="355" spans="1:10" x14ac:dyDescent="0.3">
      <c r="A355" s="2">
        <v>45517</v>
      </c>
      <c r="B355" s="3">
        <v>1.7046903231228767E-2</v>
      </c>
      <c r="C355" s="3">
        <v>6.3265008307769016E-2</v>
      </c>
      <c r="D355" s="3">
        <v>5.1032487683086693E-2</v>
      </c>
      <c r="E355" s="3">
        <v>-9.4326839166308657E-3</v>
      </c>
      <c r="F355" s="3">
        <v>-8.3933346458719329E-3</v>
      </c>
      <c r="G355" s="3">
        <v>1.6707226654933075E-2</v>
      </c>
      <c r="H355" s="3">
        <f>(Sheet1!$Y$19*' Rolling-window portfolio analy'!B355+Sheet1!$Z$19*' Rolling-window portfolio analy'!C355+Sheet1!$AA$19*' Rolling-window portfolio analy'!D355+Sheet1!$AB$19*' Rolling-window portfolio analy'!E355+Sheet1!$AC$19*' Rolling-window portfolio analy'!F355)</f>
        <v>4.4853025379308298E-2</v>
      </c>
      <c r="I355" s="6">
        <f t="shared" si="8"/>
        <v>2.284366284016929</v>
      </c>
      <c r="J355" s="86">
        <f t="shared" si="9"/>
        <v>1.9216172958617245E-4</v>
      </c>
    </row>
    <row r="356" spans="1:10" x14ac:dyDescent="0.3">
      <c r="A356" s="2">
        <v>45516</v>
      </c>
      <c r="B356" s="3">
        <v>5.9478700834188188E-3</v>
      </c>
      <c r="C356" s="3">
        <v>3.9954792833887635E-2</v>
      </c>
      <c r="D356" s="3">
        <v>-1.2629416400141601E-2</v>
      </c>
      <c r="E356" s="3">
        <v>2.2785541045871088E-3</v>
      </c>
      <c r="F356" s="3">
        <v>-1.4815085785140587E-2</v>
      </c>
      <c r="G356" s="3">
        <v>4.3036707511422095E-5</v>
      </c>
      <c r="H356" s="3">
        <f>(Sheet1!$Y$19*' Rolling-window portfolio analy'!B356+Sheet1!$Z$19*' Rolling-window portfolio analy'!C356+Sheet1!$AA$19*' Rolling-window portfolio analy'!D356+Sheet1!$AB$19*' Rolling-window portfolio analy'!E356+Sheet1!$AC$19*' Rolling-window portfolio analy'!F356)</f>
        <v>2.7828496553817972E-2</v>
      </c>
      <c r="I356" s="6">
        <f t="shared" si="8"/>
        <v>2.2974574748687617</v>
      </c>
      <c r="J356" s="86">
        <f t="shared" si="9"/>
        <v>7.5603954238770595E-4</v>
      </c>
    </row>
    <row r="357" spans="1:10" x14ac:dyDescent="0.3">
      <c r="A357" s="2">
        <v>45513</v>
      </c>
      <c r="B357" s="3">
        <v>1.3642395264465933E-2</v>
      </c>
      <c r="C357" s="3">
        <v>-2.0980362454592664E-3</v>
      </c>
      <c r="D357" s="3">
        <v>5.816885321564832E-3</v>
      </c>
      <c r="E357" s="3">
        <v>-3.7000184519647545E-3</v>
      </c>
      <c r="F357" s="3">
        <v>-7.3260400920728977E-3</v>
      </c>
      <c r="G357" s="3">
        <v>4.660780212150723E-3</v>
      </c>
      <c r="H357" s="3">
        <f>(Sheet1!$Y$19*' Rolling-window portfolio analy'!B357+Sheet1!$Z$19*' Rolling-window portfolio analy'!C357+Sheet1!$AA$19*' Rolling-window portfolio analy'!D357+Sheet1!$AB$19*' Rolling-window portfolio analy'!E357+Sheet1!$AC$19*' Rolling-window portfolio analy'!F357)</f>
        <v>1.6787243838017702E-3</v>
      </c>
      <c r="I357" s="6">
        <f t="shared" si="8"/>
        <v>2.2982750675004717</v>
      </c>
      <c r="J357" s="86">
        <f t="shared" si="9"/>
        <v>4.4880307100861241E-4</v>
      </c>
    </row>
    <row r="358" spans="1:10" x14ac:dyDescent="0.3">
      <c r="A358" s="2">
        <v>45512</v>
      </c>
      <c r="B358" s="3">
        <v>1.6496486400387027E-2</v>
      </c>
      <c r="C358" s="3">
        <v>5.9464249295957082E-2</v>
      </c>
      <c r="D358" s="3">
        <v>3.6255891100342892E-2</v>
      </c>
      <c r="E358" s="3">
        <v>2.7651531330510164E-2</v>
      </c>
      <c r="F358" s="3">
        <v>1.8565436727764732E-2</v>
      </c>
      <c r="G358" s="3">
        <v>2.2781128575607587E-2</v>
      </c>
      <c r="H358" s="3">
        <f>(Sheet1!$Y$19*' Rolling-window portfolio analy'!B358+Sheet1!$Z$19*' Rolling-window portfolio analy'!C358+Sheet1!$AA$19*' Rolling-window portfolio analy'!D358+Sheet1!$AB$19*' Rolling-window portfolio analy'!E358+Sheet1!$AC$19*' Rolling-window portfolio analy'!F358)</f>
        <v>4.5719043694983273E-2</v>
      </c>
      <c r="I358" s="6">
        <f t="shared" si="8"/>
        <v>2.2618729271447497</v>
      </c>
      <c r="J358" s="86">
        <f t="shared" si="9"/>
        <v>3.9536857768247098E-4</v>
      </c>
    </row>
    <row r="359" spans="1:10" x14ac:dyDescent="0.3">
      <c r="A359" s="2">
        <v>45511</v>
      </c>
      <c r="B359" s="3">
        <v>1.2420732753943361E-2</v>
      </c>
      <c r="C359" s="3">
        <v>-5.2581514927161482E-2</v>
      </c>
      <c r="D359" s="3">
        <v>-4.526766731842688E-2</v>
      </c>
      <c r="E359" s="3">
        <v>8.7655228402797286E-4</v>
      </c>
      <c r="F359" s="3">
        <v>-7.113248724519774E-3</v>
      </c>
      <c r="G359" s="3">
        <v>-7.7647563892511828E-3</v>
      </c>
      <c r="H359" s="3">
        <f>(Sheet1!$Y$19*' Rolling-window portfolio analy'!B359+Sheet1!$Z$19*' Rolling-window portfolio analy'!C359+Sheet1!$AA$19*' Rolling-window portfolio analy'!D359+Sheet1!$AB$19*' Rolling-window portfolio analy'!E359+Sheet1!$AC$19*' Rolling-window portfolio analy'!F359)</f>
        <v>-3.1332249830345001E-2</v>
      </c>
      <c r="I359" s="6">
        <f t="shared" si="8"/>
        <v>2.3405878473270612</v>
      </c>
      <c r="J359" s="86">
        <f t="shared" si="9"/>
        <v>-8.5945866702620295E-5</v>
      </c>
    </row>
    <row r="360" spans="1:10" x14ac:dyDescent="0.3">
      <c r="A360" s="2">
        <v>45510</v>
      </c>
      <c r="B360" s="3">
        <v>-9.7959967031821006E-3</v>
      </c>
      <c r="C360" s="3">
        <v>3.7131769417967295E-2</v>
      </c>
      <c r="D360" s="3">
        <v>8.8106296821549059E-3</v>
      </c>
      <c r="E360" s="3">
        <v>-8.7311381203986176E-3</v>
      </c>
      <c r="F360" s="3">
        <v>2.5726815238509077E-2</v>
      </c>
      <c r="G360" s="3">
        <v>1.0300905557719547E-2</v>
      </c>
      <c r="H360" s="3">
        <f>(Sheet1!$Y$19*' Rolling-window portfolio analy'!B360+Sheet1!$Z$19*' Rolling-window portfolio analy'!C360+Sheet1!$AA$19*' Rolling-window portfolio analy'!D360+Sheet1!$AB$19*' Rolling-window portfolio analy'!E360+Sheet1!$AC$19*' Rolling-window portfolio analy'!F360)</f>
        <v>2.1059695805211106E-2</v>
      </c>
      <c r="I360" s="6">
        <f t="shared" si="8"/>
        <v>2.3290745033091742</v>
      </c>
      <c r="J360" s="86">
        <f t="shared" si="9"/>
        <v>-4.9416910429335263E-5</v>
      </c>
    </row>
    <row r="361" spans="1:10" x14ac:dyDescent="0.3">
      <c r="A361" s="2">
        <v>45509</v>
      </c>
      <c r="B361" s="3">
        <v>-4.9365695898139543E-2</v>
      </c>
      <c r="C361" s="3">
        <v>-6.5688929348394431E-2</v>
      </c>
      <c r="D361" s="3">
        <v>-4.3248653592486655E-2</v>
      </c>
      <c r="E361" s="3">
        <v>-3.5021372621370062E-2</v>
      </c>
      <c r="F361" s="3">
        <v>-3.2203140494634706E-2</v>
      </c>
      <c r="G361" s="3">
        <v>-3.0427045496882188E-2</v>
      </c>
      <c r="H361" s="3">
        <f>(Sheet1!$Y$19*' Rolling-window portfolio analy'!B361+Sheet1!$Z$19*' Rolling-window portfolio analy'!C361+Sheet1!$AA$19*' Rolling-window portfolio analy'!D361+Sheet1!$AB$19*' Rolling-window portfolio analy'!E361+Sheet1!$AC$19*' Rolling-window portfolio analy'!F361)</f>
        <v>-5.8679777542711843E-2</v>
      </c>
      <c r="I361" s="6">
        <f t="shared" si="8"/>
        <v>2.2450048019963376</v>
      </c>
      <c r="J361" s="86">
        <f t="shared" si="9"/>
        <v>2.7474111743859206E-4</v>
      </c>
    </row>
    <row r="362" spans="1:10" x14ac:dyDescent="0.3">
      <c r="A362" s="2">
        <v>45506</v>
      </c>
      <c r="B362" s="3">
        <v>6.8459032371609137E-3</v>
      </c>
      <c r="C362" s="3">
        <v>-1.7923613600299107E-2</v>
      </c>
      <c r="D362" s="3">
        <v>-4.3301702689148347E-2</v>
      </c>
      <c r="E362" s="3">
        <v>-5.2062444514620485E-2</v>
      </c>
      <c r="F362" s="3">
        <v>-2.0044244058655181E-2</v>
      </c>
      <c r="G362" s="3">
        <v>-1.8552885294602865E-2</v>
      </c>
      <c r="H362" s="3">
        <f>(Sheet1!$Y$19*' Rolling-window portfolio analy'!B362+Sheet1!$Z$19*' Rolling-window portfolio analy'!C362+Sheet1!$AA$19*' Rolling-window portfolio analy'!D362+Sheet1!$AB$19*' Rolling-window portfolio analy'!E362+Sheet1!$AC$19*' Rolling-window portfolio analy'!F362)</f>
        <v>-1.5048329175164538E-2</v>
      </c>
      <c r="I362" s="6">
        <f t="shared" si="8"/>
        <v>2.1458120017705657</v>
      </c>
      <c r="J362" s="86">
        <f t="shared" si="9"/>
        <v>9.5676621941699711E-4</v>
      </c>
    </row>
    <row r="363" spans="1:10" x14ac:dyDescent="0.3">
      <c r="A363" s="2">
        <v>45505</v>
      </c>
      <c r="B363" s="3">
        <v>-1.689260040488277E-2</v>
      </c>
      <c r="C363" s="3">
        <v>-6.9072226150453053E-2</v>
      </c>
      <c r="D363" s="3">
        <v>-6.7787066250631273E-2</v>
      </c>
      <c r="E363" s="3">
        <v>-2.8023308162473681E-2</v>
      </c>
      <c r="F363" s="3">
        <v>-9.4461844520500604E-3</v>
      </c>
      <c r="G363" s="3">
        <v>-1.3788191433053192E-2</v>
      </c>
      <c r="H363" s="3">
        <f>(Sheet1!$Y$19*' Rolling-window portfolio analy'!B363+Sheet1!$Z$19*' Rolling-window portfolio analy'!C363+Sheet1!$AA$19*' Rolling-window portfolio analy'!D363+Sheet1!$AB$19*' Rolling-window portfolio analy'!E363+Sheet1!$AC$19*' Rolling-window portfolio analy'!F363)</f>
        <v>-5.2199798730788248E-2</v>
      </c>
      <c r="I363" s="6">
        <f t="shared" si="8"/>
        <v>2.2118422401901547</v>
      </c>
      <c r="J363" s="86">
        <f t="shared" si="9"/>
        <v>3.8887688180480259E-4</v>
      </c>
    </row>
    <row r="364" spans="1:10" x14ac:dyDescent="0.3">
      <c r="A364" s="2">
        <v>45504</v>
      </c>
      <c r="B364" s="3">
        <v>1.4879606770613507E-2</v>
      </c>
      <c r="C364" s="3">
        <v>0.12055349091635324</v>
      </c>
      <c r="D364" s="3">
        <v>4.157276822958756E-2</v>
      </c>
      <c r="E364" s="3">
        <v>1.2474174225175598E-2</v>
      </c>
      <c r="F364" s="3">
        <v>2.2818036141142675E-3</v>
      </c>
      <c r="G364" s="3">
        <v>1.567000529191805E-2</v>
      </c>
      <c r="H364" s="3">
        <f>(Sheet1!$Y$19*' Rolling-window portfolio analy'!B364+Sheet1!$Z$19*' Rolling-window portfolio analy'!C364+Sheet1!$AA$19*' Rolling-window portfolio analy'!D364+Sheet1!$AB$19*' Rolling-window portfolio analy'!E364+Sheet1!$AC$19*' Rolling-window portfolio analy'!F364)</f>
        <v>8.3878504746528013E-2</v>
      </c>
      <c r="I364" s="6">
        <f t="shared" si="8"/>
        <v>2.3413783392684575</v>
      </c>
      <c r="J364" s="86">
        <f t="shared" si="9"/>
        <v>1.1107828766901309E-3</v>
      </c>
    </row>
    <row r="365" spans="1:10" x14ac:dyDescent="0.3">
      <c r="A365" s="2">
        <v>45503</v>
      </c>
      <c r="B365" s="3">
        <v>2.5626958927289704E-3</v>
      </c>
      <c r="C365" s="3">
        <v>-7.3040070753873143E-2</v>
      </c>
      <c r="D365" s="3">
        <v>-4.1702031215311602E-2</v>
      </c>
      <c r="E365" s="3">
        <v>-5.9966285810031193E-3</v>
      </c>
      <c r="F365" s="3">
        <v>1.786276247835333E-2</v>
      </c>
      <c r="G365" s="3">
        <v>-4.9724964337360253E-3</v>
      </c>
      <c r="H365" s="3">
        <f>(Sheet1!$Y$19*' Rolling-window portfolio analy'!B365+Sheet1!$Z$19*' Rolling-window portfolio analy'!C365+Sheet1!$AA$19*' Rolling-window portfolio analy'!D365+Sheet1!$AB$19*' Rolling-window portfolio analy'!E365+Sheet1!$AC$19*' Rolling-window portfolio analy'!F365)</f>
        <v>-4.7822350264735539E-2</v>
      </c>
      <c r="I365" s="6">
        <f t="shared" si="8"/>
        <v>2.3814625269756275</v>
      </c>
      <c r="J365" s="86">
        <f t="shared" si="9"/>
        <v>4.6569826894946086E-4</v>
      </c>
    </row>
    <row r="366" spans="1:10" x14ac:dyDescent="0.3">
      <c r="A366" s="2">
        <v>45502</v>
      </c>
      <c r="B366" s="3">
        <v>1.2838149401997857E-3</v>
      </c>
      <c r="C366" s="3">
        <v>-1.3087211049534848E-2</v>
      </c>
      <c r="D366" s="3">
        <v>5.4450271310870373E-2</v>
      </c>
      <c r="E366" s="3">
        <v>2.1545762518301238E-2</v>
      </c>
      <c r="F366" s="3">
        <v>2.3282897595911681E-3</v>
      </c>
      <c r="G366" s="3">
        <v>8.129903108684501E-4</v>
      </c>
      <c r="H366" s="3">
        <f>(Sheet1!$Y$19*' Rolling-window portfolio analy'!B366+Sheet1!$Z$19*' Rolling-window portfolio analy'!C366+Sheet1!$AA$19*' Rolling-window portfolio analy'!D366+Sheet1!$AB$19*' Rolling-window portfolio analy'!E366+Sheet1!$AC$19*' Rolling-window portfolio analy'!F366)</f>
        <v>-6.1055868779883796E-3</v>
      </c>
      <c r="I366" s="6">
        <f t="shared" si="8"/>
        <v>2.3815294807177381</v>
      </c>
      <c r="J366" s="86">
        <f t="shared" si="9"/>
        <v>3.5338524615288617E-4</v>
      </c>
    </row>
    <row r="367" spans="1:10" x14ac:dyDescent="0.3">
      <c r="A367" s="2">
        <v>45499</v>
      </c>
      <c r="B367" s="3">
        <v>2.1586872546282805E-3</v>
      </c>
      <c r="C367" s="3">
        <v>6.9228997534629107E-3</v>
      </c>
      <c r="D367" s="3">
        <v>-2.0452228467678847E-3</v>
      </c>
      <c r="E367" s="3">
        <v>5.6549272008213476E-2</v>
      </c>
      <c r="F367" s="3">
        <v>2.1202207650602906E-2</v>
      </c>
      <c r="G367" s="3">
        <v>1.1029442312488889E-2</v>
      </c>
      <c r="H367" s="3">
        <f>(Sheet1!$Y$19*' Rolling-window portfolio analy'!B367+Sheet1!$Z$19*' Rolling-window portfolio analy'!C367+Sheet1!$AA$19*' Rolling-window portfolio analy'!D367+Sheet1!$AB$19*' Rolling-window portfolio analy'!E367+Sheet1!$AC$19*' Rolling-window portfolio analy'!F367)</f>
        <v>1.0429453912913014E-2</v>
      </c>
      <c r="I367" s="6">
        <f t="shared" si="8"/>
        <v>2.372472732923899</v>
      </c>
      <c r="J367" s="86">
        <f t="shared" si="9"/>
        <v>-4.4225648702909395E-4</v>
      </c>
    </row>
    <row r="368" spans="1:10" x14ac:dyDescent="0.3">
      <c r="A368" s="2">
        <v>45498</v>
      </c>
      <c r="B368" s="3">
        <v>-4.8161916823298888E-3</v>
      </c>
      <c r="C368" s="3">
        <v>-1.7393278280632297E-2</v>
      </c>
      <c r="D368" s="3">
        <v>1.9531154500126734E-2</v>
      </c>
      <c r="E368" s="3">
        <v>1.9296853029307698E-2</v>
      </c>
      <c r="F368" s="3">
        <v>1.197619104671562E-2</v>
      </c>
      <c r="G368" s="3">
        <v>-5.1559504042484414E-3</v>
      </c>
      <c r="H368" s="3">
        <f>(Sheet1!$Y$19*' Rolling-window portfolio analy'!B368+Sheet1!$Z$19*' Rolling-window portfolio analy'!C368+Sheet1!$AA$19*' Rolling-window portfolio analy'!D368+Sheet1!$AB$19*' Rolling-window portfolio analy'!E368+Sheet1!$AC$19*' Rolling-window portfolio analy'!F368)</f>
        <v>-1.0718153428114198E-2</v>
      </c>
      <c r="I368" s="6">
        <f t="shared" si="8"/>
        <v>2.3708950002556479</v>
      </c>
      <c r="J368" s="86">
        <f t="shared" si="9"/>
        <v>-3.7336910843736122E-4</v>
      </c>
    </row>
    <row r="369" spans="1:10" x14ac:dyDescent="0.3">
      <c r="A369" s="2">
        <v>45497</v>
      </c>
      <c r="B369" s="3">
        <v>-2.917578151864024E-2</v>
      </c>
      <c r="C369" s="3">
        <v>-7.0456424332588821E-2</v>
      </c>
      <c r="D369" s="3">
        <v>-0.13164294921766592</v>
      </c>
      <c r="E369" s="3">
        <v>-2.1262317651923435E-2</v>
      </c>
      <c r="F369" s="3">
        <v>-1.3165959182304338E-2</v>
      </c>
      <c r="G369" s="3">
        <v>-2.3421178443889513E-2</v>
      </c>
      <c r="H369" s="3">
        <f>(Sheet1!$Y$19*' Rolling-window portfolio analy'!B369+Sheet1!$Z$19*' Rolling-window portfolio analy'!C369+Sheet1!$AA$19*' Rolling-window portfolio analy'!D369+Sheet1!$AB$19*' Rolling-window portfolio analy'!E369+Sheet1!$AC$19*' Rolling-window portfolio analy'!F369)</f>
        <v>-5.5635027152723497E-2</v>
      </c>
      <c r="I369" s="6">
        <f t="shared" si="8"/>
        <v>2.3702181795501636</v>
      </c>
      <c r="J369" s="86">
        <f t="shared" si="9"/>
        <v>-4.9084501251876007E-4</v>
      </c>
    </row>
    <row r="370" spans="1:10" x14ac:dyDescent="0.3">
      <c r="A370" s="2">
        <v>45496</v>
      </c>
      <c r="B370" s="3">
        <v>4.6773811805469389E-3</v>
      </c>
      <c r="C370" s="3">
        <v>-7.7195361608502922E-3</v>
      </c>
      <c r="D370" s="3">
        <v>-2.0607690646912584E-2</v>
      </c>
      <c r="E370" s="3">
        <v>-2.8046557468930659E-4</v>
      </c>
      <c r="F370" s="3">
        <v>-2.5533302005164647E-2</v>
      </c>
      <c r="G370" s="3">
        <v>-1.5593317997995005E-3</v>
      </c>
      <c r="H370" s="3">
        <f>(Sheet1!$Y$19*' Rolling-window portfolio analy'!B370+Sheet1!$Z$19*' Rolling-window portfolio analy'!C370+Sheet1!$AA$19*' Rolling-window portfolio analy'!D370+Sheet1!$AB$19*' Rolling-window portfolio analy'!E370+Sheet1!$AC$19*' Rolling-window portfolio analy'!F370)</f>
        <v>-3.9543374793181117E-3</v>
      </c>
      <c r="I370" s="6">
        <f t="shared" si="8"/>
        <v>2.3644918079558446</v>
      </c>
      <c r="J370" s="86">
        <f t="shared" si="9"/>
        <v>-6.2536317131321089E-4</v>
      </c>
    </row>
    <row r="371" spans="1:10" x14ac:dyDescent="0.3">
      <c r="A371" s="2">
        <v>45495</v>
      </c>
      <c r="B371" s="3">
        <v>-1.5615591992412968E-3</v>
      </c>
      <c r="C371" s="3">
        <v>4.6473762165874448E-2</v>
      </c>
      <c r="D371" s="3">
        <v>5.0182728104264024E-2</v>
      </c>
      <c r="E371" s="3">
        <v>-7.5429886904331373E-3</v>
      </c>
      <c r="F371" s="3">
        <v>-5.202323871746262E-3</v>
      </c>
      <c r="G371" s="3">
        <v>1.0734189165974961E-2</v>
      </c>
      <c r="H371" s="3">
        <f>(Sheet1!$Y$19*' Rolling-window portfolio analy'!B371+Sheet1!$Z$19*' Rolling-window portfolio analy'!C371+Sheet1!$AA$19*' Rolling-window portfolio analy'!D371+Sheet1!$AB$19*' Rolling-window portfolio analy'!E371+Sheet1!$AC$19*' Rolling-window portfolio analy'!F371)</f>
        <v>2.9410870398867629E-2</v>
      </c>
      <c r="I371" s="6">
        <f t="shared" si="8"/>
        <v>2.3537020067154613</v>
      </c>
      <c r="J371" s="86">
        <f t="shared" si="9"/>
        <v>-3.1554693245479338E-4</v>
      </c>
    </row>
    <row r="372" spans="1:10" x14ac:dyDescent="0.3">
      <c r="A372" s="2">
        <v>45492</v>
      </c>
      <c r="B372" s="3">
        <v>5.7972308698451202E-4</v>
      </c>
      <c r="C372" s="3">
        <v>-2.644284266439623E-2</v>
      </c>
      <c r="D372" s="3">
        <v>-4.1076142823845592E-2</v>
      </c>
      <c r="E372" s="3">
        <v>1.1138959659114476E-3</v>
      </c>
      <c r="F372" s="3">
        <v>-9.4678658760476517E-3</v>
      </c>
      <c r="G372" s="3">
        <v>-7.1659074070294041E-3</v>
      </c>
      <c r="H372" s="3">
        <f>(Sheet1!$Y$19*' Rolling-window portfolio analy'!B372+Sheet1!$Z$19*' Rolling-window portfolio analy'!C372+Sheet1!$AA$19*' Rolling-window portfolio analy'!D372+Sheet1!$AB$19*' Rolling-window portfolio analy'!E372+Sheet1!$AC$19*' Rolling-window portfolio analy'!F372)</f>
        <v>-1.7135287425911753E-2</v>
      </c>
      <c r="I372" s="6">
        <f t="shared" si="8"/>
        <v>2.351091898790489</v>
      </c>
      <c r="J372" s="86">
        <f t="shared" si="9"/>
        <v>-3.4368933986981989E-4</v>
      </c>
    </row>
    <row r="373" spans="1:10" x14ac:dyDescent="0.3">
      <c r="A373" s="2">
        <v>45491</v>
      </c>
      <c r="B373" s="3">
        <v>-2.0748548148905522E-2</v>
      </c>
      <c r="C373" s="3">
        <v>2.5934195654447028E-2</v>
      </c>
      <c r="D373" s="3">
        <v>2.9333193636387144E-3</v>
      </c>
      <c r="E373" s="3">
        <v>-7.4948303644597697E-3</v>
      </c>
      <c r="F373" s="3">
        <v>-1.2203926120430671E-2</v>
      </c>
      <c r="G373" s="3">
        <v>-7.8470804696827295E-3</v>
      </c>
      <c r="H373" s="3">
        <f>(Sheet1!$Y$19*' Rolling-window portfolio analy'!B373+Sheet1!$Z$19*' Rolling-window portfolio analy'!C373+Sheet1!$AA$19*' Rolling-window portfolio analy'!D373+Sheet1!$AB$19*' Rolling-window portfolio analy'!E373+Sheet1!$AC$19*' Rolling-window portfolio analy'!F373)</f>
        <v>1.1112191740665042E-2</v>
      </c>
      <c r="I373" s="6">
        <f t="shared" si="8"/>
        <v>2.3239399063736066</v>
      </c>
      <c r="J373" s="86">
        <f t="shared" si="9"/>
        <v>4.2320392681599855E-4</v>
      </c>
    </row>
    <row r="374" spans="1:10" x14ac:dyDescent="0.3">
      <c r="A374" s="2">
        <v>45490</v>
      </c>
      <c r="B374" s="3">
        <v>-2.5621414460210976E-2</v>
      </c>
      <c r="C374" s="3">
        <v>-6.8535100822056577E-2</v>
      </c>
      <c r="D374" s="3">
        <v>-3.1919709848216064E-2</v>
      </c>
      <c r="E374" s="3">
        <v>-3.8642057468293422E-3</v>
      </c>
      <c r="F374" s="3">
        <v>3.3907916070827679E-3</v>
      </c>
      <c r="G374" s="3">
        <v>-1.4025410555021933E-2</v>
      </c>
      <c r="H374" s="3">
        <f>(Sheet1!$Y$19*' Rolling-window portfolio analy'!B374+Sheet1!$Z$19*' Rolling-window portfolio analy'!C374+Sheet1!$AA$19*' Rolling-window portfolio analy'!D374+Sheet1!$AB$19*' Rolling-window portfolio analy'!E374+Sheet1!$AC$19*' Rolling-window portfolio analy'!F374)</f>
        <v>-5.1662075181921153E-2</v>
      </c>
      <c r="I374" s="6">
        <f t="shared" si="8"/>
        <v>2.3723925629187099</v>
      </c>
      <c r="J374" s="86">
        <f t="shared" si="9"/>
        <v>-1.5243282472128116E-4</v>
      </c>
    </row>
    <row r="375" spans="1:10" x14ac:dyDescent="0.3">
      <c r="A375" s="2">
        <v>45489</v>
      </c>
      <c r="B375" s="3">
        <v>1.790205499208203E-3</v>
      </c>
      <c r="C375" s="3">
        <v>-1.6326893287428781E-2</v>
      </c>
      <c r="D375" s="3">
        <v>1.5397004877567575E-2</v>
      </c>
      <c r="E375" s="3">
        <v>1.638697966444785E-2</v>
      </c>
      <c r="F375" s="3">
        <v>2.0878779307375282E-2</v>
      </c>
      <c r="G375" s="3">
        <v>6.3690536600414091E-3</v>
      </c>
      <c r="H375" s="3">
        <f>(Sheet1!$Y$19*' Rolling-window portfolio analy'!B375+Sheet1!$Z$19*' Rolling-window portfolio analy'!C375+Sheet1!$AA$19*' Rolling-window portfolio analy'!D375+Sheet1!$AB$19*' Rolling-window portfolio analy'!E375+Sheet1!$AC$19*' Rolling-window portfolio analy'!F375)</f>
        <v>-8.6606869111313448E-3</v>
      </c>
      <c r="I375" s="6">
        <f t="shared" si="8"/>
        <v>2.364359437746081</v>
      </c>
      <c r="J375" s="86">
        <f t="shared" si="9"/>
        <v>-3.2077292257432589E-4</v>
      </c>
    </row>
    <row r="376" spans="1:10" x14ac:dyDescent="0.3">
      <c r="A376" s="2">
        <v>45488</v>
      </c>
      <c r="B376" s="3">
        <v>1.6604674529990988E-2</v>
      </c>
      <c r="C376" s="3">
        <v>-6.2092717349844411E-3</v>
      </c>
      <c r="D376" s="3">
        <v>1.760981477513248E-2</v>
      </c>
      <c r="E376" s="3">
        <v>3.4471437569042966E-2</v>
      </c>
      <c r="F376" s="3">
        <v>2.3688781337480112E-2</v>
      </c>
      <c r="G376" s="3">
        <v>2.822195662042845E-3</v>
      </c>
      <c r="H376" s="3">
        <f>(Sheet1!$Y$19*' Rolling-window portfolio analy'!B376+Sheet1!$Z$19*' Rolling-window portfolio analy'!C376+Sheet1!$AA$19*' Rolling-window portfolio analy'!D376+Sheet1!$AB$19*' Rolling-window portfolio analy'!E376+Sheet1!$AC$19*' Rolling-window portfolio analy'!F376)</f>
        <v>3.3663621898674537E-3</v>
      </c>
      <c r="I376" s="6">
        <f t="shared" si="8"/>
        <v>2.3528720608341605</v>
      </c>
      <c r="J376" s="86">
        <f t="shared" si="9"/>
        <v>-4.8304308128394079E-4</v>
      </c>
    </row>
    <row r="377" spans="1:10" x14ac:dyDescent="0.3">
      <c r="A377" s="2">
        <v>45485</v>
      </c>
      <c r="B377" s="3">
        <v>1.2966499801739235E-2</v>
      </c>
      <c r="C377" s="3">
        <v>1.4339397818234453E-2</v>
      </c>
      <c r="D377" s="3">
        <v>2.94343286609011E-2</v>
      </c>
      <c r="E377" s="3">
        <v>-2.8981307259788645E-4</v>
      </c>
      <c r="F377" s="3">
        <v>1.4808236083763311E-3</v>
      </c>
      <c r="G377" s="3">
        <v>5.5018536287759819E-3</v>
      </c>
      <c r="H377" s="3">
        <f>(Sheet1!$Y$19*' Rolling-window portfolio analy'!B377+Sheet1!$Z$19*' Rolling-window portfolio analy'!C377+Sheet1!$AA$19*' Rolling-window portfolio analy'!D377+Sheet1!$AB$19*' Rolling-window portfolio analy'!E377+Sheet1!$AC$19*' Rolling-window portfolio analy'!F377)</f>
        <v>1.263762052124587E-2</v>
      </c>
      <c r="I377" s="6">
        <f t="shared" si="8"/>
        <v>2.4049525668015068</v>
      </c>
      <c r="J377" s="86">
        <f t="shared" si="9"/>
        <v>-1.0305650586295207E-3</v>
      </c>
    </row>
    <row r="378" spans="1:10" x14ac:dyDescent="0.3">
      <c r="A378" s="2">
        <v>45484</v>
      </c>
      <c r="B378" s="3">
        <v>-2.349472960050368E-2</v>
      </c>
      <c r="C378" s="3">
        <v>-5.7276146312662667E-2</v>
      </c>
      <c r="D378" s="3">
        <v>-8.8220729925963345E-2</v>
      </c>
      <c r="E378" s="3">
        <v>1.9605602371889311E-2</v>
      </c>
      <c r="F378" s="3">
        <v>2.4603701308953098E-2</v>
      </c>
      <c r="G378" s="3">
        <v>-8.8016292301766504E-3</v>
      </c>
      <c r="H378" s="3">
        <f>(Sheet1!$Y$19*' Rolling-window portfolio analy'!B378+Sheet1!$Z$19*' Rolling-window portfolio analy'!C378+Sheet1!$AA$19*' Rolling-window portfolio analy'!D378+Sheet1!$AB$19*' Rolling-window portfolio analy'!E378+Sheet1!$AC$19*' Rolling-window portfolio analy'!F378)</f>
        <v>-4.1638356637680299E-2</v>
      </c>
      <c r="I378" s="6">
        <f t="shared" si="8"/>
        <v>2.4420676034391406</v>
      </c>
      <c r="J378" s="86">
        <f t="shared" si="9"/>
        <v>-1.2351490901178995E-3</v>
      </c>
    </row>
    <row r="379" spans="1:10" x14ac:dyDescent="0.3">
      <c r="A379" s="2">
        <v>45483</v>
      </c>
      <c r="B379" s="3">
        <v>1.8628966575860231E-2</v>
      </c>
      <c r="C379" s="3">
        <v>2.6514001986398836E-2</v>
      </c>
      <c r="D379" s="3">
        <v>3.5388838090011148E-3</v>
      </c>
      <c r="E379" s="3">
        <v>1.2189834306015361E-2</v>
      </c>
      <c r="F379" s="3">
        <v>1.3455860515391927E-2</v>
      </c>
      <c r="G379" s="3">
        <v>1.0156283642139425E-2</v>
      </c>
      <c r="H379" s="3">
        <f>(Sheet1!$Y$19*' Rolling-window portfolio analy'!B379+Sheet1!$Z$19*' Rolling-window portfolio analy'!C379+Sheet1!$AA$19*' Rolling-window portfolio analy'!D379+Sheet1!$AB$19*' Rolling-window portfolio analy'!E379+Sheet1!$AC$19*' Rolling-window portfolio analy'!F379)</f>
        <v>2.3152660117748639E-2</v>
      </c>
      <c r="I379" s="6">
        <f t="shared" si="8"/>
        <v>2.4504718997408337</v>
      </c>
      <c r="J379" s="86">
        <f t="shared" si="9"/>
        <v>-1.6868315441742735E-3</v>
      </c>
    </row>
    <row r="380" spans="1:10" x14ac:dyDescent="0.3">
      <c r="A380" s="2">
        <v>45482</v>
      </c>
      <c r="B380" s="3">
        <v>3.7678029240046994E-3</v>
      </c>
      <c r="C380" s="3">
        <v>2.4502342977757247E-2</v>
      </c>
      <c r="D380" s="3">
        <v>3.64509467364302E-2</v>
      </c>
      <c r="E380" s="3">
        <v>-2.1894365695193228E-2</v>
      </c>
      <c r="F380" s="3">
        <v>-2.7631938662086099E-2</v>
      </c>
      <c r="G380" s="3">
        <v>7.4081850375864739E-4</v>
      </c>
      <c r="H380" s="3">
        <f>(Sheet1!$Y$19*' Rolling-window portfolio analy'!B380+Sheet1!$Z$19*' Rolling-window portfolio analy'!C380+Sheet1!$AA$19*' Rolling-window portfolio analy'!D380+Sheet1!$AB$19*' Rolling-window portfolio analy'!E380+Sheet1!$AC$19*' Rolling-window portfolio analy'!F380)</f>
        <v>1.4966466941457745E-2</v>
      </c>
      <c r="I380" s="6">
        <f t="shared" si="8"/>
        <v>2.4518303329923752</v>
      </c>
      <c r="J380" s="86">
        <f t="shared" si="9"/>
        <v>-1.6629418048978348E-3</v>
      </c>
    </row>
    <row r="381" spans="1:10" x14ac:dyDescent="0.3">
      <c r="A381" s="2">
        <v>45481</v>
      </c>
      <c r="B381" s="3">
        <v>6.5175499339704939E-3</v>
      </c>
      <c r="C381" s="3">
        <v>1.8659754882693017E-2</v>
      </c>
      <c r="D381" s="3">
        <v>5.6297972109885675E-3</v>
      </c>
      <c r="E381" s="3">
        <v>-1.4622023368469099E-3</v>
      </c>
      <c r="F381" s="3">
        <v>2.6990569691652047E-3</v>
      </c>
      <c r="G381" s="3">
        <v>1.0161544279964853E-3</v>
      </c>
      <c r="H381" s="3">
        <f>(Sheet1!$Y$19*' Rolling-window portfolio analy'!B381+Sheet1!$Z$19*' Rolling-window portfolio analy'!C381+Sheet1!$AA$19*' Rolling-window portfolio analy'!D381+Sheet1!$AB$19*' Rolling-window portfolio analy'!E381+Sheet1!$AC$19*' Rolling-window portfolio analy'!F381)</f>
        <v>1.3707783606978732E-2</v>
      </c>
      <c r="I381" s="6">
        <f t="shared" si="8"/>
        <v>2.4443321086112051</v>
      </c>
      <c r="J381" s="86">
        <f t="shared" si="9"/>
        <v>-1.3523449020074417E-3</v>
      </c>
    </row>
    <row r="382" spans="1:10" x14ac:dyDescent="0.3">
      <c r="A382" s="2">
        <v>45478</v>
      </c>
      <c r="B382" s="3">
        <v>2.1389995892297006E-2</v>
      </c>
      <c r="C382" s="3">
        <v>-1.9283585221077631E-2</v>
      </c>
      <c r="D382" s="3">
        <v>2.0606862820631275E-2</v>
      </c>
      <c r="E382" s="3">
        <v>-7.2791120647265348E-3</v>
      </c>
      <c r="F382" s="3">
        <v>-7.4794664312926237E-3</v>
      </c>
      <c r="G382" s="3">
        <v>5.4339884131971751E-3</v>
      </c>
      <c r="H382" s="3">
        <f>(Sheet1!$Y$19*' Rolling-window portfolio analy'!B382+Sheet1!$Z$19*' Rolling-window portfolio analy'!C382+Sheet1!$AA$19*' Rolling-window portfolio analy'!D382+Sheet1!$AB$19*' Rolling-window portfolio analy'!E382+Sheet1!$AC$19*' Rolling-window portfolio analy'!F382)</f>
        <v>-7.9576731908378214E-3</v>
      </c>
      <c r="I382" s="6">
        <f t="shared" si="8"/>
        <v>2.4309849465003861</v>
      </c>
      <c r="J382" s="86">
        <f t="shared" si="9"/>
        <v>-1.6244698216361761E-3</v>
      </c>
    </row>
    <row r="383" spans="1:10" x14ac:dyDescent="0.3">
      <c r="A383" s="2">
        <v>45476</v>
      </c>
      <c r="B383" s="3">
        <v>5.7942310494322798E-3</v>
      </c>
      <c r="C383" s="3">
        <v>4.4717551780293567E-2</v>
      </c>
      <c r="D383" s="3">
        <v>6.3373027719394973E-2</v>
      </c>
      <c r="E383" s="3">
        <v>-6.3620804528842691E-3</v>
      </c>
      <c r="F383" s="3">
        <v>-6.2398063100655536E-3</v>
      </c>
      <c r="G383" s="3">
        <v>5.0715161981972666E-3</v>
      </c>
      <c r="H383" s="3">
        <f>(Sheet1!$Y$19*' Rolling-window portfolio analy'!B383+Sheet1!$Z$19*' Rolling-window portfolio analy'!C383+Sheet1!$AA$19*' Rolling-window portfolio analy'!D383+Sheet1!$AB$19*' Rolling-window portfolio analy'!E383+Sheet1!$AC$19*' Rolling-window portfolio analy'!F383)</f>
        <v>3.0226380910858924E-2</v>
      </c>
      <c r="I383" s="6">
        <f t="shared" ref="I383:I446" si="10">SLOPE(H324:H383,G324:G383)</f>
        <v>2.4430567193104049</v>
      </c>
      <c r="J383" s="86">
        <f t="shared" ref="J383:J446" si="11">AVERAGE(H324:H383)-($N$1+I383*(AVERAGE(G324:G383)-$N$1))</f>
        <v>-1.2172713369776771E-3</v>
      </c>
    </row>
    <row r="384" spans="1:10" x14ac:dyDescent="0.3">
      <c r="A384" s="2">
        <v>45475</v>
      </c>
      <c r="B384" s="3">
        <v>1.6109450935414969E-2</v>
      </c>
      <c r="C384" s="3">
        <v>-1.3200175472004753E-2</v>
      </c>
      <c r="D384" s="3">
        <v>9.7101976971050677E-2</v>
      </c>
      <c r="E384" s="3">
        <v>-7.1808437242521124E-3</v>
      </c>
      <c r="F384" s="3">
        <v>5.0482661035548123E-3</v>
      </c>
      <c r="G384" s="3">
        <v>6.1762197767835335E-3</v>
      </c>
      <c r="H384" s="3">
        <f>(Sheet1!$Y$19*' Rolling-window portfolio analy'!B384+Sheet1!$Z$19*' Rolling-window portfolio analy'!C384+Sheet1!$AA$19*' Rolling-window portfolio analy'!D384+Sheet1!$AB$19*' Rolling-window portfolio analy'!E384+Sheet1!$AC$19*' Rolling-window portfolio analy'!F384)</f>
        <v>-5.1403335697648728E-3</v>
      </c>
      <c r="I384" s="6">
        <f t="shared" si="10"/>
        <v>2.4310055447949424</v>
      </c>
      <c r="J384" s="86">
        <f t="shared" si="11"/>
        <v>-1.3936104226745264E-3</v>
      </c>
    </row>
    <row r="385" spans="1:10" x14ac:dyDescent="0.3">
      <c r="A385" s="2">
        <v>45474</v>
      </c>
      <c r="B385" s="3">
        <v>2.868905370820015E-2</v>
      </c>
      <c r="C385" s="3">
        <v>6.1330082489121848E-3</v>
      </c>
      <c r="D385" s="3">
        <v>5.8779855370257116E-2</v>
      </c>
      <c r="E385" s="3">
        <v>-6.5611417799806395E-3</v>
      </c>
      <c r="F385" s="3">
        <v>4.1766170499638296E-3</v>
      </c>
      <c r="G385" s="3">
        <v>2.6720159429360979E-3</v>
      </c>
      <c r="H385" s="3">
        <f>(Sheet1!$Y$19*' Rolling-window portfolio analy'!B385+Sheet1!$Z$19*' Rolling-window portfolio analy'!C385+Sheet1!$AA$19*' Rolling-window portfolio analy'!D385+Sheet1!$AB$19*' Rolling-window portfolio analy'!E385+Sheet1!$AC$19*' Rolling-window portfolio analy'!F385)</f>
        <v>1.0633609792673833E-2</v>
      </c>
      <c r="I385" s="6">
        <f t="shared" si="10"/>
        <v>2.4404728157204501</v>
      </c>
      <c r="J385" s="86">
        <f t="shared" si="11"/>
        <v>-1.6114205324091488E-3</v>
      </c>
    </row>
    <row r="386" spans="1:10" x14ac:dyDescent="0.3">
      <c r="A386" s="2">
        <v>45471</v>
      </c>
      <c r="B386" s="3">
        <v>-1.6387633643185913E-2</v>
      </c>
      <c r="C386" s="3">
        <v>-3.6359269239974838E-3</v>
      </c>
      <c r="D386" s="3">
        <v>2.3273473697660637E-3</v>
      </c>
      <c r="E386" s="3">
        <v>2.1555655702497813E-2</v>
      </c>
      <c r="F386" s="3">
        <v>1.2635547171539136E-2</v>
      </c>
      <c r="G386" s="3">
        <v>-4.0919885121458088E-3</v>
      </c>
      <c r="H386" s="3">
        <f>(Sheet1!$Y$19*' Rolling-window portfolio analy'!B386+Sheet1!$Z$19*' Rolling-window portfolio analy'!C386+Sheet1!$AA$19*' Rolling-window portfolio analy'!D386+Sheet1!$AB$19*' Rolling-window portfolio analy'!E386+Sheet1!$AC$19*' Rolling-window portfolio analy'!F386)</f>
        <v>-4.4065457374376973E-3</v>
      </c>
      <c r="I386" s="6">
        <f t="shared" si="10"/>
        <v>2.4286693379361233</v>
      </c>
      <c r="J386" s="86">
        <f t="shared" si="11"/>
        <v>-1.8464767180530652E-3</v>
      </c>
    </row>
    <row r="387" spans="1:10" x14ac:dyDescent="0.3">
      <c r="A387" s="2">
        <v>45470</v>
      </c>
      <c r="B387" s="3">
        <v>3.9780092238486118E-3</v>
      </c>
      <c r="C387" s="3">
        <v>-1.9250564521006413E-2</v>
      </c>
      <c r="D387" s="3">
        <v>5.3328042276029868E-3</v>
      </c>
      <c r="E387" s="3">
        <v>-1.4515897453805902E-3</v>
      </c>
      <c r="F387" s="3">
        <v>6.056935375967368E-4</v>
      </c>
      <c r="G387" s="3">
        <v>9.068706560974762E-4</v>
      </c>
      <c r="H387" s="3">
        <f>(Sheet1!$Y$19*' Rolling-window portfolio analy'!B387+Sheet1!$Z$19*' Rolling-window portfolio analy'!C387+Sheet1!$AA$19*' Rolling-window portfolio analy'!D387+Sheet1!$AB$19*' Rolling-window portfolio analy'!E387+Sheet1!$AC$19*' Rolling-window portfolio analy'!F387)</f>
        <v>-1.1741012582024936E-2</v>
      </c>
      <c r="I387" s="6">
        <f t="shared" si="10"/>
        <v>2.4295711180034041</v>
      </c>
      <c r="J387" s="86">
        <f t="shared" si="11"/>
        <v>-1.9780004953303034E-3</v>
      </c>
    </row>
    <row r="388" spans="1:10" x14ac:dyDescent="0.3">
      <c r="A388" s="2">
        <v>45469</v>
      </c>
      <c r="B388" s="3">
        <v>1.9796062253251291E-2</v>
      </c>
      <c r="C388" s="3">
        <v>2.4555440276219911E-3</v>
      </c>
      <c r="D388" s="3">
        <v>4.7022109522442616E-2</v>
      </c>
      <c r="E388" s="3">
        <v>-1.0963756677758962E-2</v>
      </c>
      <c r="F388" s="3">
        <v>9.1297043148090371E-3</v>
      </c>
      <c r="G388" s="3">
        <v>1.5711783413408377E-3</v>
      </c>
      <c r="H388" s="3">
        <f>(Sheet1!$Y$19*' Rolling-window portfolio analy'!B388+Sheet1!$Z$19*' Rolling-window portfolio analy'!C388+Sheet1!$AA$19*' Rolling-window portfolio analy'!D388+Sheet1!$AB$19*' Rolling-window portfolio analy'!E388+Sheet1!$AC$19*' Rolling-window portfolio analy'!F388)</f>
        <v>5.5756917377643433E-3</v>
      </c>
      <c r="I388" s="6">
        <f t="shared" si="10"/>
        <v>2.4279318380280213</v>
      </c>
      <c r="J388" s="86">
        <f t="shared" si="11"/>
        <v>-1.8251106840211162E-3</v>
      </c>
    </row>
    <row r="389" spans="1:10" x14ac:dyDescent="0.3">
      <c r="A389" s="2">
        <v>45468</v>
      </c>
      <c r="B389" s="3">
        <v>4.4581939088239372E-3</v>
      </c>
      <c r="C389" s="3">
        <v>6.5379544061379219E-2</v>
      </c>
      <c r="D389" s="3">
        <v>2.5790092102761508E-2</v>
      </c>
      <c r="E389" s="3">
        <v>1.2705917397144108E-2</v>
      </c>
      <c r="F389" s="3">
        <v>-1.5170193838362617E-2</v>
      </c>
      <c r="G389" s="3">
        <v>3.9259309005764296E-3</v>
      </c>
      <c r="H389" s="3">
        <f>(Sheet1!$Y$19*' Rolling-window portfolio analy'!B389+Sheet1!$Z$19*' Rolling-window portfolio analy'!C389+Sheet1!$AA$19*' Rolling-window portfolio analy'!D389+Sheet1!$AB$19*' Rolling-window portfolio analy'!E389+Sheet1!$AC$19*' Rolling-window portfolio analy'!F389)</f>
        <v>4.5161002629281986E-2</v>
      </c>
      <c r="I389" s="6">
        <f t="shared" si="10"/>
        <v>2.4480396381006071</v>
      </c>
      <c r="J389" s="86">
        <f t="shared" si="11"/>
        <v>-1.210127718087504E-3</v>
      </c>
    </row>
    <row r="390" spans="1:10" x14ac:dyDescent="0.3">
      <c r="A390" s="2">
        <v>45467</v>
      </c>
      <c r="B390" s="3">
        <v>3.1277844713533962E-3</v>
      </c>
      <c r="C390" s="3">
        <v>-6.9179121180601127E-2</v>
      </c>
      <c r="D390" s="3">
        <v>-2.3523630202561424E-3</v>
      </c>
      <c r="E390" s="3">
        <v>4.3963123421115989E-2</v>
      </c>
      <c r="F390" s="3">
        <v>-6.0042209800098322E-3</v>
      </c>
      <c r="G390" s="3">
        <v>-3.0698792218004059E-3</v>
      </c>
      <c r="H390" s="3">
        <f>(Sheet1!$Y$19*' Rolling-window portfolio analy'!B390+Sheet1!$Z$19*' Rolling-window portfolio analy'!C390+Sheet1!$AA$19*' Rolling-window portfolio analy'!D390+Sheet1!$AB$19*' Rolling-window portfolio analy'!E390+Sheet1!$AC$19*' Rolling-window portfolio analy'!F390)</f>
        <v>-4.0343691672956254E-2</v>
      </c>
      <c r="I390" s="6">
        <f t="shared" si="10"/>
        <v>2.4665067499700002</v>
      </c>
      <c r="J390" s="86">
        <f t="shared" si="11"/>
        <v>-1.7415714802599973E-3</v>
      </c>
    </row>
    <row r="391" spans="1:10" x14ac:dyDescent="0.3">
      <c r="A391" s="2">
        <v>45464</v>
      </c>
      <c r="B391" s="3">
        <v>-1.0499413276791171E-2</v>
      </c>
      <c r="C391" s="3">
        <v>-3.2721007328772991E-2</v>
      </c>
      <c r="D391" s="3">
        <v>7.8995418746152426E-3</v>
      </c>
      <c r="E391" s="3">
        <v>-1.2139606953667074E-3</v>
      </c>
      <c r="F391" s="3">
        <v>2.9976041630766894E-3</v>
      </c>
      <c r="G391" s="3">
        <v>-1.5633874377691908E-3</v>
      </c>
      <c r="H391" s="3">
        <f>(Sheet1!$Y$19*' Rolling-window portfolio analy'!B391+Sheet1!$Z$19*' Rolling-window portfolio analy'!C391+Sheet1!$AA$19*' Rolling-window portfolio analy'!D391+Sheet1!$AB$19*' Rolling-window portfolio analy'!E391+Sheet1!$AC$19*' Rolling-window portfolio analy'!F391)</f>
        <v>-2.4132429254396379E-2</v>
      </c>
      <c r="I391" s="6">
        <f t="shared" si="10"/>
        <v>2.4725293483293704</v>
      </c>
      <c r="J391" s="86">
        <f t="shared" si="11"/>
        <v>-2.0024684806818757E-3</v>
      </c>
    </row>
    <row r="392" spans="1:10" x14ac:dyDescent="0.3">
      <c r="A392" s="2">
        <v>45463</v>
      </c>
      <c r="B392" s="3">
        <v>-2.1747678819839824E-2</v>
      </c>
      <c r="C392" s="3">
        <v>-3.6045349869689741E-2</v>
      </c>
      <c r="D392" s="3">
        <v>-1.7957527554056042E-2</v>
      </c>
      <c r="E392" s="3">
        <v>2.5496696774273072E-2</v>
      </c>
      <c r="F392" s="3">
        <v>8.4414128028899756E-3</v>
      </c>
      <c r="G392" s="3">
        <v>-2.5291522760688338E-3</v>
      </c>
      <c r="H392" s="3">
        <f>(Sheet1!$Y$19*' Rolling-window portfolio analy'!B392+Sheet1!$Z$19*' Rolling-window portfolio analy'!C392+Sheet1!$AA$19*' Rolling-window portfolio analy'!D392+Sheet1!$AB$19*' Rolling-window portfolio analy'!E392+Sheet1!$AC$19*' Rolling-window portfolio analy'!F392)</f>
        <v>-2.661903657222553E-2</v>
      </c>
      <c r="I392" s="6">
        <f t="shared" si="10"/>
        <v>2.4838830941791072</v>
      </c>
      <c r="J392" s="86">
        <f t="shared" si="11"/>
        <v>-1.9884295865412183E-3</v>
      </c>
    </row>
    <row r="393" spans="1:10" x14ac:dyDescent="0.3">
      <c r="A393" s="2">
        <v>45461</v>
      </c>
      <c r="B393" s="3">
        <v>-1.1045220883624869E-2</v>
      </c>
      <c r="C393" s="3">
        <v>3.4517232212912273E-2</v>
      </c>
      <c r="D393" s="3">
        <v>-1.3860012362908552E-2</v>
      </c>
      <c r="E393" s="3">
        <v>3.4283966882998128E-3</v>
      </c>
      <c r="F393" s="3">
        <v>1.2797249601470644E-2</v>
      </c>
      <c r="G393" s="3">
        <v>2.5181897678469146E-3</v>
      </c>
      <c r="H393" s="3">
        <f>(Sheet1!$Y$19*' Rolling-window portfolio analy'!B393+Sheet1!$Z$19*' Rolling-window portfolio analy'!C393+Sheet1!$AA$19*' Rolling-window portfolio analy'!D393+Sheet1!$AB$19*' Rolling-window portfolio analy'!E393+Sheet1!$AC$19*' Rolling-window portfolio analy'!F393)</f>
        <v>2.0149793209313257E-2</v>
      </c>
      <c r="I393" s="6">
        <f t="shared" si="10"/>
        <v>2.4989366201547694</v>
      </c>
      <c r="J393" s="86">
        <f t="shared" si="11"/>
        <v>-1.5333139458246045E-3</v>
      </c>
    </row>
    <row r="394" spans="1:10" x14ac:dyDescent="0.3">
      <c r="A394" s="2">
        <v>45460</v>
      </c>
      <c r="B394" s="3">
        <v>1.9480530284974665E-2</v>
      </c>
      <c r="C394" s="3">
        <v>-6.8477784136228076E-3</v>
      </c>
      <c r="D394" s="3">
        <v>5.1619065710198767E-2</v>
      </c>
      <c r="E394" s="3">
        <v>2.9786739550404413E-2</v>
      </c>
      <c r="F394" s="3">
        <v>1.3273848236990673E-2</v>
      </c>
      <c r="G394" s="3">
        <v>7.6351859201040807E-3</v>
      </c>
      <c r="H394" s="3">
        <f>(Sheet1!$Y$19*' Rolling-window portfolio analy'!B394+Sheet1!$Z$19*' Rolling-window portfolio analy'!C394+Sheet1!$AA$19*' Rolling-window portfolio analy'!D394+Sheet1!$AB$19*' Rolling-window portfolio analy'!E394+Sheet1!$AC$19*' Rolling-window portfolio analy'!F394)</f>
        <v>3.2808304460110152E-3</v>
      </c>
      <c r="I394" s="6">
        <f t="shared" si="10"/>
        <v>2.4861333104487859</v>
      </c>
      <c r="J394" s="86">
        <f t="shared" si="11"/>
        <v>-1.7085306520139469E-3</v>
      </c>
    </row>
    <row r="395" spans="1:10" x14ac:dyDescent="0.3">
      <c r="A395" s="2">
        <v>45457</v>
      </c>
      <c r="B395" s="3">
        <v>-8.2019535092213904E-3</v>
      </c>
      <c r="C395" s="3">
        <v>1.7362476768246544E-2</v>
      </c>
      <c r="D395" s="3">
        <v>-2.474604745910234E-2</v>
      </c>
      <c r="E395" s="3">
        <v>-1.7219813246895043E-2</v>
      </c>
      <c r="F395" s="3">
        <v>-1.0817598921022973E-2</v>
      </c>
      <c r="G395" s="3">
        <v>-3.9391312700216223E-4</v>
      </c>
      <c r="H395" s="3">
        <f>(Sheet1!$Y$19*' Rolling-window portfolio analy'!B395+Sheet1!$Z$19*' Rolling-window portfolio analy'!C395+Sheet1!$AA$19*' Rolling-window portfolio analy'!D395+Sheet1!$AB$19*' Rolling-window portfolio analy'!E395+Sheet1!$AC$19*' Rolling-window portfolio analy'!F395)</f>
        <v>7.6481752426859825E-3</v>
      </c>
      <c r="I395" s="6">
        <f t="shared" si="10"/>
        <v>2.4345979778102542</v>
      </c>
      <c r="J395" s="86">
        <f t="shared" si="11"/>
        <v>-2.0150682493307254E-3</v>
      </c>
    </row>
    <row r="396" spans="1:10" x14ac:dyDescent="0.3">
      <c r="A396" s="2">
        <v>45456</v>
      </c>
      <c r="B396" s="3">
        <v>5.4761317255874456E-3</v>
      </c>
      <c r="C396" s="3">
        <v>3.4617482769285633E-2</v>
      </c>
      <c r="D396" s="3">
        <v>2.8798966038154739E-2</v>
      </c>
      <c r="E396" s="3">
        <v>-1.9101880320870211E-2</v>
      </c>
      <c r="F396" s="3">
        <v>-7.0455184996084498E-3</v>
      </c>
      <c r="G396" s="3">
        <v>2.341828672305396E-3</v>
      </c>
      <c r="H396" s="3">
        <f>(Sheet1!$Y$19*' Rolling-window portfolio analy'!B396+Sheet1!$Z$19*' Rolling-window portfolio analy'!C396+Sheet1!$AA$19*' Rolling-window portfolio analy'!D396+Sheet1!$AB$19*' Rolling-window portfolio analy'!E396+Sheet1!$AC$19*' Rolling-window portfolio analy'!F396)</f>
        <v>2.2264123131874834E-2</v>
      </c>
      <c r="I396" s="6">
        <f t="shared" si="10"/>
        <v>2.4421806306633602</v>
      </c>
      <c r="J396" s="86">
        <f t="shared" si="11"/>
        <v>-1.6853832113802732E-3</v>
      </c>
    </row>
    <row r="397" spans="1:10" x14ac:dyDescent="0.3">
      <c r="A397" s="2">
        <v>45455</v>
      </c>
      <c r="B397" s="3">
        <v>2.8177581693864077E-2</v>
      </c>
      <c r="C397" s="3">
        <v>3.486599147984281E-2</v>
      </c>
      <c r="D397" s="3">
        <v>3.8113536801850333E-2</v>
      </c>
      <c r="E397" s="3">
        <v>0</v>
      </c>
      <c r="F397" s="3">
        <v>2.7510333718897976E-3</v>
      </c>
      <c r="G397" s="3">
        <v>8.4677271718827819E-3</v>
      </c>
      <c r="H397" s="3">
        <f>(Sheet1!$Y$19*' Rolling-window portfolio analy'!B397+Sheet1!$Z$19*' Rolling-window portfolio analy'!C397+Sheet1!$AA$19*' Rolling-window portfolio analy'!D397+Sheet1!$AB$19*' Rolling-window portfolio analy'!E397+Sheet1!$AC$19*' Rolling-window portfolio analy'!F397)</f>
        <v>2.9901175005400994E-2</v>
      </c>
      <c r="I397" s="6">
        <f t="shared" si="10"/>
        <v>2.4655946366066259</v>
      </c>
      <c r="J397" s="86">
        <f t="shared" si="11"/>
        <v>-1.4320238587675778E-3</v>
      </c>
    </row>
    <row r="398" spans="1:10" x14ac:dyDescent="0.3">
      <c r="A398" s="2">
        <v>45454</v>
      </c>
      <c r="B398" s="3">
        <v>7.0131411174189487E-2</v>
      </c>
      <c r="C398" s="3">
        <v>-7.2517829128638201E-3</v>
      </c>
      <c r="D398" s="3">
        <v>-1.8174400668203614E-2</v>
      </c>
      <c r="E398" s="3">
        <v>-6.184311608784545E-3</v>
      </c>
      <c r="F398" s="3">
        <v>-7.9268707752940797E-3</v>
      </c>
      <c r="G398" s="3">
        <v>2.7067548434573357E-3</v>
      </c>
      <c r="H398" s="3">
        <f>(Sheet1!$Y$19*' Rolling-window portfolio analy'!B398+Sheet1!$Z$19*' Rolling-window portfolio analy'!C398+Sheet1!$AA$19*' Rolling-window portfolio analy'!D398+Sheet1!$AB$19*' Rolling-window portfolio analy'!E398+Sheet1!$AC$19*' Rolling-window portfolio analy'!F398)</f>
        <v>1.207351989581572E-2</v>
      </c>
      <c r="I398" s="6">
        <f t="shared" si="10"/>
        <v>2.5158392791791018</v>
      </c>
      <c r="J398" s="86">
        <f t="shared" si="11"/>
        <v>-1.5765744225451177E-3</v>
      </c>
    </row>
    <row r="399" spans="1:10" x14ac:dyDescent="0.3">
      <c r="A399" s="2">
        <v>45453</v>
      </c>
      <c r="B399" s="3">
        <v>-1.9333439804519667E-2</v>
      </c>
      <c r="C399" s="3">
        <v>7.4172088851185859E-3</v>
      </c>
      <c r="D399" s="3">
        <v>-2.1010252734066218E-2</v>
      </c>
      <c r="E399" s="3">
        <v>2.4970086347758932E-2</v>
      </c>
      <c r="F399" s="3">
        <v>5.481134307012016E-3</v>
      </c>
      <c r="G399" s="3">
        <v>2.5775665246065955E-3</v>
      </c>
      <c r="H399" s="3">
        <f>(Sheet1!$Y$19*' Rolling-window portfolio analy'!B399+Sheet1!$Z$19*' Rolling-window portfolio analy'!C399+Sheet1!$AA$19*' Rolling-window portfolio analy'!D399+Sheet1!$AB$19*' Rolling-window portfolio analy'!E399+Sheet1!$AC$19*' Rolling-window portfolio analy'!F399)</f>
        <v>2.3783106408573154E-3</v>
      </c>
      <c r="I399" s="6">
        <f t="shared" si="10"/>
        <v>2.5260994185033292</v>
      </c>
      <c r="J399" s="86">
        <f t="shared" si="11"/>
        <v>-1.9101871930636448E-3</v>
      </c>
    </row>
    <row r="400" spans="1:10" x14ac:dyDescent="0.3">
      <c r="A400" s="2">
        <v>45450</v>
      </c>
      <c r="B400" s="3">
        <v>1.231586714587319E-2</v>
      </c>
      <c r="C400" s="3">
        <v>-9.0950438284049986E-4</v>
      </c>
      <c r="D400" s="3">
        <v>-2.5884883059126311E-3</v>
      </c>
      <c r="E400" s="3">
        <v>-3.4705824392475548E-3</v>
      </c>
      <c r="F400" s="3">
        <v>-7.3015231592292156E-3</v>
      </c>
      <c r="G400" s="3">
        <v>-1.1158931807150971E-3</v>
      </c>
      <c r="H400" s="3">
        <f>(Sheet1!$Y$19*' Rolling-window portfolio analy'!B400+Sheet1!$Z$19*' Rolling-window portfolio analy'!C400+Sheet1!$AA$19*' Rolling-window portfolio analy'!D400+Sheet1!$AB$19*' Rolling-window portfolio analy'!E400+Sheet1!$AC$19*' Rolling-window portfolio analy'!F400)</f>
        <v>2.1334240433603779E-3</v>
      </c>
      <c r="I400" s="6">
        <f t="shared" si="10"/>
        <v>2.521469709339065</v>
      </c>
      <c r="J400" s="86">
        <f t="shared" si="11"/>
        <v>-1.6796807738081426E-3</v>
      </c>
    </row>
    <row r="401" spans="1:10" x14ac:dyDescent="0.3">
      <c r="A401" s="2">
        <v>45449</v>
      </c>
      <c r="B401" s="3">
        <v>-7.1218438587839971E-3</v>
      </c>
      <c r="C401" s="3">
        <v>-1.183056848047062E-2</v>
      </c>
      <c r="D401" s="3">
        <v>1.666044089310717E-2</v>
      </c>
      <c r="E401" s="3">
        <v>0</v>
      </c>
      <c r="F401" s="3">
        <v>-1.8170810572051437E-3</v>
      </c>
      <c r="G401" s="3">
        <v>-1.9986943175659869E-4</v>
      </c>
      <c r="H401" s="3">
        <f>(Sheet1!$Y$19*' Rolling-window portfolio analy'!B401+Sheet1!$Z$19*' Rolling-window portfolio analy'!C401+Sheet1!$AA$19*' Rolling-window portfolio analy'!D401+Sheet1!$AB$19*' Rolling-window portfolio analy'!E401+Sheet1!$AC$19*' Rolling-window portfolio analy'!F401)</f>
        <v>-9.4856608192340538E-3</v>
      </c>
      <c r="I401" s="6">
        <f t="shared" si="10"/>
        <v>2.4366778811398913</v>
      </c>
      <c r="J401" s="86">
        <f t="shared" si="11"/>
        <v>-1.4048296999767868E-3</v>
      </c>
    </row>
    <row r="402" spans="1:10" x14ac:dyDescent="0.3">
      <c r="A402" s="2">
        <v>45448</v>
      </c>
      <c r="B402" s="3">
        <v>7.7905165684197843E-3</v>
      </c>
      <c r="C402" s="3">
        <v>5.0244995199789262E-2</v>
      </c>
      <c r="D402" s="3">
        <v>1.3151501452443291E-3</v>
      </c>
      <c r="E402" s="3">
        <v>3.7866880211431353E-3</v>
      </c>
      <c r="F402" s="3">
        <v>8.5081035869717901E-3</v>
      </c>
      <c r="G402" s="3">
        <v>1.1778026448059028E-2</v>
      </c>
      <c r="H402" s="3">
        <f>(Sheet1!$Y$19*' Rolling-window portfolio analy'!B402+Sheet1!$Z$19*' Rolling-window portfolio analy'!C402+Sheet1!$AA$19*' Rolling-window portfolio analy'!D402+Sheet1!$AB$19*' Rolling-window portfolio analy'!E402+Sheet1!$AC$19*' Rolling-window portfolio analy'!F402)</f>
        <v>3.5191492815279883E-2</v>
      </c>
      <c r="I402" s="6">
        <f t="shared" si="10"/>
        <v>2.4786538649171557</v>
      </c>
      <c r="J402" s="86">
        <f t="shared" si="11"/>
        <v>-1.0674507982087395E-3</v>
      </c>
    </row>
    <row r="403" spans="1:10" x14ac:dyDescent="0.3">
      <c r="A403" s="2">
        <v>45447</v>
      </c>
      <c r="B403" s="3">
        <v>1.6478710150511398E-3</v>
      </c>
      <c r="C403" s="3">
        <v>1.2443990514172488E-2</v>
      </c>
      <c r="D403" s="3">
        <v>-8.6595425193821771E-3</v>
      </c>
      <c r="E403" s="3">
        <v>-1.6306413366070936E-2</v>
      </c>
      <c r="F403" s="3">
        <v>-1.2433822051575116E-2</v>
      </c>
      <c r="G403" s="3">
        <v>1.5016920495655548E-3</v>
      </c>
      <c r="H403" s="3">
        <f>(Sheet1!$Y$19*' Rolling-window portfolio analy'!B403+Sheet1!$Z$19*' Rolling-window portfolio analy'!C403+Sheet1!$AA$19*' Rolling-window portfolio analy'!D403+Sheet1!$AB$19*' Rolling-window portfolio analy'!E403+Sheet1!$AC$19*' Rolling-window portfolio analy'!F403)</f>
        <v>6.9936235476277583E-3</v>
      </c>
      <c r="I403" s="6">
        <f t="shared" si="10"/>
        <v>2.4719915568124784</v>
      </c>
      <c r="J403" s="86">
        <f t="shared" si="11"/>
        <v>-3.6298758681500604E-4</v>
      </c>
    </row>
    <row r="404" spans="1:10" x14ac:dyDescent="0.3">
      <c r="A404" s="2">
        <v>45446</v>
      </c>
      <c r="B404" s="3">
        <v>9.2161778974277301E-3</v>
      </c>
      <c r="C404" s="3">
        <v>4.7821068676801554E-2</v>
      </c>
      <c r="D404" s="3">
        <v>-1.0102521229582731E-2</v>
      </c>
      <c r="E404" s="3">
        <v>-4.0535794937646114E-2</v>
      </c>
      <c r="F404" s="3">
        <v>-1.7033132556240352E-2</v>
      </c>
      <c r="G404" s="3">
        <v>1.1154342969859781E-3</v>
      </c>
      <c r="H404" s="3">
        <f>(Sheet1!$Y$19*' Rolling-window portfolio analy'!B404+Sheet1!$Z$19*' Rolling-window portfolio analy'!C404+Sheet1!$AA$19*' Rolling-window portfolio analy'!D404+Sheet1!$AB$19*' Rolling-window portfolio analy'!E404+Sheet1!$AC$19*' Rolling-window portfolio analy'!F404)</f>
        <v>2.9734050784553344E-2</v>
      </c>
      <c r="I404" s="6">
        <f t="shared" si="10"/>
        <v>2.4703851789527991</v>
      </c>
      <c r="J404" s="86">
        <f t="shared" si="11"/>
        <v>1.2068314087559972E-4</v>
      </c>
    </row>
    <row r="405" spans="1:10" x14ac:dyDescent="0.3">
      <c r="A405" s="2">
        <v>45443</v>
      </c>
      <c r="B405" s="3">
        <v>5.0060072211912839E-3</v>
      </c>
      <c r="C405" s="3">
        <v>-7.9044612713588917E-3</v>
      </c>
      <c r="D405" s="3">
        <v>-3.9790452364939517E-3</v>
      </c>
      <c r="E405" s="3">
        <v>3.0323730327797359E-2</v>
      </c>
      <c r="F405" s="3">
        <v>1.3423020332140771E-2</v>
      </c>
      <c r="G405" s="3">
        <v>7.9958649115222311E-3</v>
      </c>
      <c r="H405" s="3">
        <f>(Sheet1!$Y$19*' Rolling-window portfolio analy'!B405+Sheet1!$Z$19*' Rolling-window portfolio analy'!C405+Sheet1!$AA$19*' Rolling-window portfolio analy'!D405+Sheet1!$AB$19*' Rolling-window portfolio analy'!E405+Sheet1!$AC$19*' Rolling-window portfolio analy'!F405)</f>
        <v>-1.0603775743919311E-3</v>
      </c>
      <c r="I405" s="6">
        <f t="shared" si="10"/>
        <v>2.4424229191752502</v>
      </c>
      <c r="J405" s="86">
        <f t="shared" si="11"/>
        <v>-3.0346709405852743E-4</v>
      </c>
    </row>
    <row r="406" spans="1:10" x14ac:dyDescent="0.3">
      <c r="A406" s="2">
        <v>45442</v>
      </c>
      <c r="B406" s="3">
        <v>5.2413768506466675E-3</v>
      </c>
      <c r="C406" s="3">
        <v>-3.8350163781683232E-2</v>
      </c>
      <c r="D406" s="3">
        <v>1.4648974561190858E-2</v>
      </c>
      <c r="E406" s="3">
        <v>1.7078508566786468E-2</v>
      </c>
      <c r="F406" s="3">
        <v>1.8034269991505051E-3</v>
      </c>
      <c r="G406" s="3">
        <v>-5.9929167225422977E-3</v>
      </c>
      <c r="H406" s="3">
        <f>(Sheet1!$Y$19*' Rolling-window portfolio analy'!B406+Sheet1!$Z$19*' Rolling-window portfolio analy'!C406+Sheet1!$AA$19*' Rolling-window portfolio analy'!D406+Sheet1!$AB$19*' Rolling-window portfolio analy'!E406+Sheet1!$AC$19*' Rolling-window portfolio analy'!F406)</f>
        <v>-2.2155578058519722E-2</v>
      </c>
      <c r="I406" s="6">
        <f t="shared" si="10"/>
        <v>2.4472490852184272</v>
      </c>
      <c r="J406" s="86">
        <f t="shared" si="11"/>
        <v>-3.2839929610884453E-4</v>
      </c>
    </row>
    <row r="407" spans="1:10" x14ac:dyDescent="0.3">
      <c r="A407" s="2">
        <v>45441</v>
      </c>
      <c r="B407" s="3">
        <v>1.5777851174667318E-3</v>
      </c>
      <c r="C407" s="3">
        <v>8.0448142863541183E-3</v>
      </c>
      <c r="D407" s="3">
        <v>-3.1733465741443341E-3</v>
      </c>
      <c r="E407" s="3">
        <v>-1.4921010426765241E-2</v>
      </c>
      <c r="F407" s="3">
        <v>-7.1942756340269733E-3</v>
      </c>
      <c r="G407" s="3">
        <v>-7.3943469365055463E-3</v>
      </c>
      <c r="H407" s="3">
        <f>(Sheet1!$Y$19*' Rolling-window portfolio analy'!B407+Sheet1!$Z$19*' Rolling-window portfolio analy'!C407+Sheet1!$AA$19*' Rolling-window portfolio analy'!D407+Sheet1!$AB$19*' Rolling-window portfolio analy'!E407+Sheet1!$AC$19*' Rolling-window portfolio analy'!F407)</f>
        <v>4.2376749963363063E-3</v>
      </c>
      <c r="I407" s="6">
        <f t="shared" si="10"/>
        <v>2.3983325235781616</v>
      </c>
      <c r="J407" s="86">
        <f t="shared" si="11"/>
        <v>-1.5036372420086912E-5</v>
      </c>
    </row>
    <row r="408" spans="1:10" x14ac:dyDescent="0.3">
      <c r="A408" s="2">
        <v>45440</v>
      </c>
      <c r="B408" s="3">
        <v>5.2635734412367455E-5</v>
      </c>
      <c r="C408" s="3">
        <v>6.7457615126621795E-2</v>
      </c>
      <c r="D408" s="3">
        <v>-1.398938514126017E-2</v>
      </c>
      <c r="E408" s="3">
        <v>1.2349492153030267E-3</v>
      </c>
      <c r="F408" s="3">
        <v>-8.9206657583796017E-3</v>
      </c>
      <c r="G408" s="3">
        <v>2.4880404548013993E-4</v>
      </c>
      <c r="H408" s="3">
        <f>(Sheet1!$Y$19*' Rolling-window portfolio analy'!B408+Sheet1!$Z$19*' Rolling-window portfolio analy'!C408+Sheet1!$AA$19*' Rolling-window portfolio analy'!D408+Sheet1!$AB$19*' Rolling-window portfolio analy'!E408+Sheet1!$AC$19*' Rolling-window portfolio analy'!F408)</f>
        <v>4.4265520617635661E-2</v>
      </c>
      <c r="I408" s="6">
        <f t="shared" si="10"/>
        <v>2.3829373761341639</v>
      </c>
      <c r="J408" s="86">
        <f t="shared" si="11"/>
        <v>8.0668336925629599E-4</v>
      </c>
    </row>
    <row r="409" spans="1:10" x14ac:dyDescent="0.3">
      <c r="A409" s="2">
        <v>45436</v>
      </c>
      <c r="B409" s="3">
        <v>1.6452103822174123E-2</v>
      </c>
      <c r="C409" s="3">
        <v>2.5397284594726528E-2</v>
      </c>
      <c r="D409" s="3">
        <v>3.1165761086167761E-2</v>
      </c>
      <c r="E409" s="3">
        <v>1.7451362177100121E-2</v>
      </c>
      <c r="F409" s="3">
        <v>8.3234725486332622E-3</v>
      </c>
      <c r="G409" s="3">
        <v>6.9765789150719763E-3</v>
      </c>
      <c r="H409" s="3">
        <f>(Sheet1!$Y$19*' Rolling-window portfolio analy'!B409+Sheet1!$Z$19*' Rolling-window portfolio analy'!C409+Sheet1!$AA$19*' Rolling-window portfolio analy'!D409+Sheet1!$AB$19*' Rolling-window portfolio analy'!E409+Sheet1!$AC$19*' Rolling-window portfolio analy'!F409)</f>
        <v>2.2429479309838136E-2</v>
      </c>
      <c r="I409" s="6">
        <f t="shared" si="10"/>
        <v>2.3914337280666018</v>
      </c>
      <c r="J409" s="86">
        <f t="shared" si="11"/>
        <v>9.4824098990988924E-4</v>
      </c>
    </row>
    <row r="410" spans="1:10" x14ac:dyDescent="0.3">
      <c r="A410" s="2">
        <v>45435</v>
      </c>
      <c r="B410" s="3">
        <v>-2.1283031091839801E-2</v>
      </c>
      <c r="C410" s="3">
        <v>8.9115533473493408E-2</v>
      </c>
      <c r="D410" s="3">
        <v>-3.6007846517191675E-2</v>
      </c>
      <c r="E410" s="3">
        <v>-8.7637493607128636E-3</v>
      </c>
      <c r="F410" s="3">
        <v>-1.5109160188083254E-2</v>
      </c>
      <c r="G410" s="3">
        <v>-7.4081767856449404E-3</v>
      </c>
      <c r="H410" s="3">
        <f>(Sheet1!$Y$19*' Rolling-window portfolio analy'!B410+Sheet1!$Z$19*' Rolling-window portfolio analy'!C410+Sheet1!$AA$19*' Rolling-window portfolio analy'!D410+Sheet1!$AB$19*' Rolling-window portfolio analy'!E410+Sheet1!$AC$19*' Rolling-window portfolio analy'!F410)</f>
        <v>5.2149498430129781E-2</v>
      </c>
      <c r="I410" s="6">
        <f t="shared" si="10"/>
        <v>2.2724827944988459</v>
      </c>
      <c r="J410" s="86">
        <f t="shared" si="11"/>
        <v>2.3893211454294643E-3</v>
      </c>
    </row>
    <row r="411" spans="1:10" x14ac:dyDescent="0.3">
      <c r="A411" s="2">
        <v>45434</v>
      </c>
      <c r="B411" s="3">
        <v>-7.5668984666021327E-3</v>
      </c>
      <c r="C411" s="3">
        <v>-4.62331389882179E-3</v>
      </c>
      <c r="D411" s="3">
        <v>-3.5399513064277216E-2</v>
      </c>
      <c r="E411" s="3">
        <v>-2.8568983370216405E-2</v>
      </c>
      <c r="F411" s="3">
        <v>2.8028072025402643E-2</v>
      </c>
      <c r="G411" s="3">
        <v>-2.7097176835470336E-3</v>
      </c>
      <c r="H411" s="3">
        <f>(Sheet1!$Y$19*' Rolling-window portfolio analy'!B411+Sheet1!$Z$19*' Rolling-window portfolio analy'!C411+Sheet1!$AA$19*' Rolling-window portfolio analy'!D411+Sheet1!$AB$19*' Rolling-window portfolio analy'!E411+Sheet1!$AC$19*' Rolling-window portfolio analy'!F411)</f>
        <v>-7.6826540758372849E-3</v>
      </c>
      <c r="I411" s="6">
        <f t="shared" si="10"/>
        <v>2.267594679355021</v>
      </c>
      <c r="J411" s="86">
        <f t="shared" si="11"/>
        <v>2.2605161308184261E-3</v>
      </c>
    </row>
    <row r="412" spans="1:10" x14ac:dyDescent="0.3">
      <c r="A412" s="2">
        <v>45433</v>
      </c>
      <c r="B412" s="3">
        <v>6.8337989940669263E-3</v>
      </c>
      <c r="C412" s="3">
        <v>6.4153346176745478E-3</v>
      </c>
      <c r="D412" s="3">
        <v>6.4467069599546456E-2</v>
      </c>
      <c r="E412" s="3">
        <v>-2.7219130671728101E-3</v>
      </c>
      <c r="F412" s="3">
        <v>-1.0228729374963602E-2</v>
      </c>
      <c r="G412" s="3">
        <v>2.498698327390512E-3</v>
      </c>
      <c r="H412" s="3">
        <f>(Sheet1!$Y$19*' Rolling-window portfolio analy'!B412+Sheet1!$Z$19*' Rolling-window portfolio analy'!C412+Sheet1!$AA$19*' Rolling-window portfolio analy'!D412+Sheet1!$AB$19*' Rolling-window portfolio analy'!E412+Sheet1!$AC$19*' Rolling-window portfolio analy'!F412)</f>
        <v>5.7579187574420187E-3</v>
      </c>
      <c r="I412" s="6">
        <f t="shared" si="10"/>
        <v>2.2659962511760736</v>
      </c>
      <c r="J412" s="86">
        <f t="shared" si="11"/>
        <v>2.1679715593400715E-3</v>
      </c>
    </row>
    <row r="413" spans="1:10" x14ac:dyDescent="0.3">
      <c r="A413" s="2">
        <v>45432</v>
      </c>
      <c r="B413" s="3">
        <v>6.1432027489136277E-3</v>
      </c>
      <c r="C413" s="3">
        <v>2.456601161537485E-2</v>
      </c>
      <c r="D413" s="3">
        <v>-1.4245012593494734E-2</v>
      </c>
      <c r="E413" s="3">
        <v>-1.0515343999523008E-2</v>
      </c>
      <c r="F413" s="3">
        <v>-3.2870192452173741E-3</v>
      </c>
      <c r="G413" s="3">
        <v>9.159960683443537E-4</v>
      </c>
      <c r="H413" s="3">
        <f>(Sheet1!$Y$19*' Rolling-window portfolio analy'!B413+Sheet1!$Z$19*' Rolling-window portfolio analy'!C413+Sheet1!$AA$19*' Rolling-window portfolio analy'!D413+Sheet1!$AB$19*' Rolling-window portfolio analy'!E413+Sheet1!$AC$19*' Rolling-window portfolio analy'!F413)</f>
        <v>1.658634548817043E-2</v>
      </c>
      <c r="I413" s="6">
        <f t="shared" si="10"/>
        <v>2.2925680607141157</v>
      </c>
      <c r="J413" s="86">
        <f t="shared" si="11"/>
        <v>2.5005243221684526E-3</v>
      </c>
    </row>
    <row r="414" spans="1:10" x14ac:dyDescent="0.3">
      <c r="A414" s="2">
        <v>45429</v>
      </c>
      <c r="B414" s="3">
        <v>1.5801532781546361E-4</v>
      </c>
      <c r="C414" s="3">
        <v>-2.0124849615406851E-2</v>
      </c>
      <c r="D414" s="3">
        <v>1.4873961412078061E-2</v>
      </c>
      <c r="E414" s="3">
        <v>1.3237257066695906E-2</v>
      </c>
      <c r="F414" s="3">
        <v>-1.2157303182256409E-2</v>
      </c>
      <c r="G414" s="3">
        <v>1.1641104408194052E-3</v>
      </c>
      <c r="H414" s="3">
        <f>(Sheet1!$Y$19*' Rolling-window portfolio analy'!B414+Sheet1!$Z$19*' Rolling-window portfolio analy'!C414+Sheet1!$AA$19*' Rolling-window portfolio analy'!D414+Sheet1!$AB$19*' Rolling-window portfolio analy'!E414+Sheet1!$AC$19*' Rolling-window portfolio analy'!F414)</f>
        <v>-1.1852623367781321E-2</v>
      </c>
      <c r="I414" s="6">
        <f t="shared" si="10"/>
        <v>2.2899530876527865</v>
      </c>
      <c r="J414" s="86">
        <f t="shared" si="11"/>
        <v>2.2199893761707017E-3</v>
      </c>
    </row>
    <row r="415" spans="1:10" x14ac:dyDescent="0.3">
      <c r="A415" s="2">
        <v>45428</v>
      </c>
      <c r="B415" s="3">
        <v>6.3231111812725633E-4</v>
      </c>
      <c r="C415" s="3">
        <v>-2.8572959806669506E-3</v>
      </c>
      <c r="D415" s="3">
        <v>4.8734436964889671E-3</v>
      </c>
      <c r="E415" s="3">
        <v>2.7293421037091919E-3</v>
      </c>
      <c r="F415" s="3">
        <v>2.6560440581162104E-3</v>
      </c>
      <c r="G415" s="3">
        <v>-2.08387430730016E-3</v>
      </c>
      <c r="H415" s="3">
        <f>(Sheet1!$Y$19*' Rolling-window portfolio analy'!B415+Sheet1!$Z$19*' Rolling-window portfolio analy'!C415+Sheet1!$AA$19*' Rolling-window portfolio analy'!D415+Sheet1!$AB$19*' Rolling-window portfolio analy'!E415+Sheet1!$AC$19*' Rolling-window portfolio analy'!F415)</f>
        <v>-1.4455177814456056E-3</v>
      </c>
      <c r="I415" s="6">
        <f t="shared" si="10"/>
        <v>2.272628651503882</v>
      </c>
      <c r="J415" s="86">
        <f t="shared" si="11"/>
        <v>2.164713176866933E-3</v>
      </c>
    </row>
    <row r="416" spans="1:10" x14ac:dyDescent="0.3">
      <c r="A416" s="2">
        <v>45427</v>
      </c>
      <c r="B416" s="3">
        <v>1.2143858638487333E-2</v>
      </c>
      <c r="C416" s="3">
        <v>3.5166804612441198E-2</v>
      </c>
      <c r="D416" s="3">
        <v>-2.0254433090472083E-2</v>
      </c>
      <c r="E416" s="3">
        <v>9.1519857830436695E-3</v>
      </c>
      <c r="F416" s="3">
        <v>-2.6560440581161848E-3</v>
      </c>
      <c r="G416" s="3">
        <v>1.1647879688045933E-2</v>
      </c>
      <c r="H416" s="3">
        <f>(Sheet1!$Y$19*' Rolling-window portfolio analy'!B416+Sheet1!$Z$19*' Rolling-window portfolio analy'!C416+Sheet1!$AA$19*' Rolling-window portfolio analy'!D416+Sheet1!$AB$19*' Rolling-window portfolio analy'!E416+Sheet1!$AC$19*' Rolling-window portfolio analy'!F416)</f>
        <v>2.687309786327375E-2</v>
      </c>
      <c r="I416" s="6">
        <f t="shared" si="10"/>
        <v>2.270306040859559</v>
      </c>
      <c r="J416" s="86">
        <f t="shared" si="11"/>
        <v>1.7095718104438863E-3</v>
      </c>
    </row>
    <row r="417" spans="1:10" x14ac:dyDescent="0.3">
      <c r="A417" s="2">
        <v>45426</v>
      </c>
      <c r="B417" s="3">
        <v>6.1545242567172895E-3</v>
      </c>
      <c r="C417" s="3">
        <v>1.0563478509569246E-2</v>
      </c>
      <c r="D417" s="3">
        <v>3.2397522049031562E-2</v>
      </c>
      <c r="E417" s="3">
        <v>6.7650934517733772E-3</v>
      </c>
      <c r="F417" s="3">
        <v>-1.7239287419088489E-2</v>
      </c>
      <c r="G417" s="3">
        <v>4.8261000617198218E-3</v>
      </c>
      <c r="H417" s="3">
        <f>(Sheet1!$Y$19*' Rolling-window portfolio analy'!B417+Sheet1!$Z$19*' Rolling-window portfolio analy'!C417+Sheet1!$AA$19*' Rolling-window portfolio analy'!D417+Sheet1!$AB$19*' Rolling-window portfolio analy'!E417+Sheet1!$AC$19*' Rolling-window portfolio analy'!F417)</f>
        <v>9.146329942283123E-3</v>
      </c>
      <c r="I417" s="6">
        <f t="shared" si="10"/>
        <v>2.2767736457845649</v>
      </c>
      <c r="J417" s="86">
        <f t="shared" si="11"/>
        <v>1.8268111523900914E-3</v>
      </c>
    </row>
    <row r="418" spans="1:10" x14ac:dyDescent="0.3">
      <c r="A418" s="2">
        <v>45425</v>
      </c>
      <c r="B418" s="3">
        <v>1.7491578547931153E-2</v>
      </c>
      <c r="C418" s="3">
        <v>5.7688200810025346E-3</v>
      </c>
      <c r="D418" s="3">
        <v>2.0097044941952816E-2</v>
      </c>
      <c r="E418" s="3">
        <v>2.1621630044950956E-3</v>
      </c>
      <c r="F418" s="3">
        <v>4.0638662605239602E-3</v>
      </c>
      <c r="G418" s="3">
        <v>-2.4128455417182781E-4</v>
      </c>
      <c r="H418" s="3">
        <f>(Sheet1!$Y$19*' Rolling-window portfolio analy'!B418+Sheet1!$Z$19*' Rolling-window portfolio analy'!C418+Sheet1!$AA$19*' Rolling-window portfolio analy'!D418+Sheet1!$AB$19*' Rolling-window portfolio analy'!E418+Sheet1!$AC$19*' Rolling-window portfolio analy'!F418)</f>
        <v>8.3679218356938305E-3</v>
      </c>
      <c r="I418" s="6">
        <f t="shared" si="10"/>
        <v>2.3190382335832109</v>
      </c>
      <c r="J418" s="86">
        <f t="shared" si="11"/>
        <v>2.0878152955231223E-3</v>
      </c>
    </row>
    <row r="419" spans="1:10" x14ac:dyDescent="0.3">
      <c r="A419" s="2">
        <v>45422</v>
      </c>
      <c r="B419" s="3">
        <v>-8.2694557529546277E-3</v>
      </c>
      <c r="C419" s="3">
        <v>1.2652018961603279E-2</v>
      </c>
      <c r="D419" s="3">
        <v>-2.0562350597995414E-2</v>
      </c>
      <c r="E419" s="3">
        <v>-1.351371916672282E-2</v>
      </c>
      <c r="F419" s="3">
        <v>-3.484324082610811E-3</v>
      </c>
      <c r="G419" s="3">
        <v>1.6480214063461682E-3</v>
      </c>
      <c r="H419" s="3">
        <f>(Sheet1!$Y$19*' Rolling-window portfolio analy'!B419+Sheet1!$Z$19*' Rolling-window portfolio analy'!C419+Sheet1!$AA$19*' Rolling-window portfolio analy'!D419+Sheet1!$AB$19*' Rolling-window portfolio analy'!E419+Sheet1!$AC$19*' Rolling-window portfolio analy'!F419)</f>
        <v>4.9068711663590161E-3</v>
      </c>
      <c r="I419" s="6">
        <f t="shared" si="10"/>
        <v>2.2897505018307935</v>
      </c>
      <c r="J419" s="86">
        <f t="shared" si="11"/>
        <v>2.3257187981973611E-3</v>
      </c>
    </row>
    <row r="420" spans="1:10" x14ac:dyDescent="0.3">
      <c r="A420" s="2">
        <v>45421</v>
      </c>
      <c r="B420" s="3">
        <v>9.9644177487252465E-3</v>
      </c>
      <c r="C420" s="3">
        <v>-1.8531452393749839E-2</v>
      </c>
      <c r="D420" s="3">
        <v>-1.5864649560432108E-2</v>
      </c>
      <c r="E420" s="3">
        <v>2.7212563524884794E-2</v>
      </c>
      <c r="F420" s="3">
        <v>8.1490555732666621E-3</v>
      </c>
      <c r="G420" s="3">
        <v>5.0780025958913483E-3</v>
      </c>
      <c r="H420" s="3">
        <f>(Sheet1!$Y$19*' Rolling-window portfolio analy'!B420+Sheet1!$Z$19*' Rolling-window portfolio analy'!C420+Sheet1!$AA$19*' Rolling-window portfolio analy'!D420+Sheet1!$AB$19*' Rolling-window portfolio analy'!E420+Sheet1!$AC$19*' Rolling-window portfolio analy'!F420)</f>
        <v>-7.100876603097825E-3</v>
      </c>
      <c r="I420" s="6">
        <f t="shared" si="10"/>
        <v>2.2753596194239973</v>
      </c>
      <c r="J420" s="86">
        <f t="shared" si="11"/>
        <v>2.0533259310706428E-3</v>
      </c>
    </row>
    <row r="421" spans="1:10" x14ac:dyDescent="0.3">
      <c r="A421" s="2">
        <v>45420</v>
      </c>
      <c r="B421" s="3">
        <v>1.8622999302434699E-3</v>
      </c>
      <c r="C421" s="3">
        <v>-1.5473035801473439E-3</v>
      </c>
      <c r="D421" s="3">
        <v>-1.75308719113163E-2</v>
      </c>
      <c r="E421" s="3">
        <v>-7.4953505185676736E-3</v>
      </c>
      <c r="F421" s="3">
        <v>7.6269070209006862E-3</v>
      </c>
      <c r="G421" s="3">
        <v>-5.7829262956225704E-6</v>
      </c>
      <c r="H421" s="3">
        <f>(Sheet1!$Y$19*' Rolling-window portfolio analy'!B421+Sheet1!$Z$19*' Rolling-window portfolio analy'!C421+Sheet1!$AA$19*' Rolling-window portfolio analy'!D421+Sheet1!$AB$19*' Rolling-window portfolio analy'!E421+Sheet1!$AC$19*' Rolling-window portfolio analy'!F421)</f>
        <v>-1.2926195992680836E-3</v>
      </c>
      <c r="I421" s="6">
        <f t="shared" si="10"/>
        <v>2.3628644422408414</v>
      </c>
      <c r="J421" s="86">
        <f t="shared" si="11"/>
        <v>1.8261618847263347E-3</v>
      </c>
    </row>
    <row r="422" spans="1:10" x14ac:dyDescent="0.3">
      <c r="A422" s="2">
        <v>45419</v>
      </c>
      <c r="B422" s="3">
        <v>3.7900679792654901E-3</v>
      </c>
      <c r="C422" s="3">
        <v>-1.7406975178348535E-2</v>
      </c>
      <c r="D422" s="3">
        <v>-3.8342121094548112E-2</v>
      </c>
      <c r="E422" s="3">
        <v>4.3654575096399983E-3</v>
      </c>
      <c r="F422" s="3">
        <v>8.2791720690207262E-3</v>
      </c>
      <c r="G422" s="3">
        <v>1.3425358193505205E-3</v>
      </c>
      <c r="H422" s="3">
        <f>(Sheet1!$Y$19*' Rolling-window portfolio analy'!B422+Sheet1!$Z$19*' Rolling-window portfolio analy'!C422+Sheet1!$AA$19*' Rolling-window portfolio analy'!D422+Sheet1!$AB$19*' Rolling-window portfolio analy'!E422+Sheet1!$AC$19*' Rolling-window portfolio analy'!F422)</f>
        <v>-1.01082591182904E-2</v>
      </c>
      <c r="I422" s="6">
        <f t="shared" si="10"/>
        <v>2.5534295230069985</v>
      </c>
      <c r="J422" s="86">
        <f t="shared" si="11"/>
        <v>9.9655469923922552E-4</v>
      </c>
    </row>
    <row r="423" spans="1:10" x14ac:dyDescent="0.3">
      <c r="A423" s="2">
        <v>45418</v>
      </c>
      <c r="B423" s="3">
        <v>-9.1484929607891334E-3</v>
      </c>
      <c r="C423" s="3">
        <v>3.7035128463535398E-2</v>
      </c>
      <c r="D423" s="3">
        <v>1.9511481114388544E-2</v>
      </c>
      <c r="E423" s="3">
        <v>2.5031302181184748E-3</v>
      </c>
      <c r="F423" s="3">
        <v>-5.0348099841581069E-3</v>
      </c>
      <c r="G423" s="3">
        <v>1.0273136069376812E-2</v>
      </c>
      <c r="H423" s="3">
        <f>(Sheet1!$Y$19*' Rolling-window portfolio analy'!B423+Sheet1!$Z$19*' Rolling-window portfolio analy'!C423+Sheet1!$AA$19*' Rolling-window portfolio analy'!D423+Sheet1!$AB$19*' Rolling-window portfolio analy'!E423+Sheet1!$AC$19*' Rolling-window portfolio analy'!F423)</f>
        <v>2.2242552391648917E-2</v>
      </c>
      <c r="I423" s="6">
        <f t="shared" si="10"/>
        <v>2.4340567410094338</v>
      </c>
      <c r="J423" s="86">
        <f t="shared" si="11"/>
        <v>1.3416058027587866E-3</v>
      </c>
    </row>
    <row r="424" spans="1:10" x14ac:dyDescent="0.3">
      <c r="A424" s="2">
        <v>45415</v>
      </c>
      <c r="B424" s="3">
        <v>5.8095512753197624E-2</v>
      </c>
      <c r="C424" s="3">
        <v>3.4021951480856932E-2</v>
      </c>
      <c r="D424" s="3">
        <v>6.5337995454030507E-3</v>
      </c>
      <c r="E424" s="3">
        <v>-3.1323414508256371E-4</v>
      </c>
      <c r="F424" s="3">
        <v>8.3061883663404987E-3</v>
      </c>
      <c r="G424" s="3">
        <v>1.247858860899914E-2</v>
      </c>
      <c r="H424" s="3">
        <f>(Sheet1!$Y$19*' Rolling-window portfolio analy'!B424+Sheet1!$Z$19*' Rolling-window portfolio analy'!C424+Sheet1!$AA$19*' Rolling-window portfolio analy'!D424+Sheet1!$AB$19*' Rolling-window portfolio analy'!E424+Sheet1!$AC$19*' Rolling-window portfolio analy'!F424)</f>
        <v>3.670170966463536E-2</v>
      </c>
      <c r="I424" s="6">
        <f t="shared" si="10"/>
        <v>2.1998767573461961</v>
      </c>
      <c r="J424" s="86">
        <f t="shared" si="11"/>
        <v>9.240838645495947E-4</v>
      </c>
    </row>
    <row r="425" spans="1:10" x14ac:dyDescent="0.3">
      <c r="A425" s="2">
        <v>45414</v>
      </c>
      <c r="B425" s="3">
        <v>2.1792700729467398E-2</v>
      </c>
      <c r="C425" s="3">
        <v>3.2929660145800087E-2</v>
      </c>
      <c r="D425" s="3">
        <v>1.1111111122521166E-4</v>
      </c>
      <c r="E425" s="3">
        <v>1.2535257047243389E-3</v>
      </c>
      <c r="F425" s="3">
        <v>1.1082935069500571E-2</v>
      </c>
      <c r="G425" s="3">
        <v>9.0870134013374317E-3</v>
      </c>
      <c r="H425" s="3">
        <f>(Sheet1!$Y$19*' Rolling-window portfolio analy'!B425+Sheet1!$Z$19*' Rolling-window portfolio analy'!C425+Sheet1!$AA$19*' Rolling-window portfolio analy'!D425+Sheet1!$AB$19*' Rolling-window portfolio analy'!E425+Sheet1!$AC$19*' Rolling-window portfolio analy'!F425)</f>
        <v>2.7095747806283703E-2</v>
      </c>
      <c r="I425" s="6">
        <f t="shared" si="10"/>
        <v>2.1242261733183176</v>
      </c>
      <c r="J425" s="86">
        <f t="shared" si="11"/>
        <v>1.7522604769175717E-3</v>
      </c>
    </row>
    <row r="426" spans="1:10" x14ac:dyDescent="0.3">
      <c r="A426" s="2">
        <v>45413</v>
      </c>
      <c r="B426" s="3">
        <v>-6.0654427333962507E-3</v>
      </c>
      <c r="C426" s="3">
        <v>-3.9665256392431403E-2</v>
      </c>
      <c r="D426" s="3">
        <v>-1.8113744353852251E-2</v>
      </c>
      <c r="E426" s="3">
        <v>-2.263311617090152E-2</v>
      </c>
      <c r="F426" s="3">
        <v>-6.0222826270580753E-4</v>
      </c>
      <c r="G426" s="3">
        <v>-3.4413923648739225E-3</v>
      </c>
      <c r="H426" s="3">
        <f>(Sheet1!$Y$19*' Rolling-window portfolio analy'!B426+Sheet1!$Z$19*' Rolling-window portfolio analy'!C426+Sheet1!$AA$19*' Rolling-window portfolio analy'!D426+Sheet1!$AB$19*' Rolling-window portfolio analy'!E426+Sheet1!$AC$19*' Rolling-window portfolio analy'!F426)</f>
        <v>-2.9654798774252016E-2</v>
      </c>
      <c r="I426" s="6">
        <f t="shared" si="10"/>
        <v>2.1671016468372328</v>
      </c>
      <c r="J426" s="86">
        <f t="shared" si="11"/>
        <v>1.4595771154109214E-3</v>
      </c>
    </row>
    <row r="427" spans="1:10" x14ac:dyDescent="0.3">
      <c r="A427" s="2">
        <v>45412</v>
      </c>
      <c r="B427" s="3">
        <v>-1.8439867514427888E-2</v>
      </c>
      <c r="C427" s="3">
        <v>-1.5618140156964883E-2</v>
      </c>
      <c r="D427" s="3">
        <v>-5.7100819669675291E-2</v>
      </c>
      <c r="E427" s="3">
        <v>-1.8226506992280993E-2</v>
      </c>
      <c r="F427" s="3">
        <v>-2.1736749819556467E-2</v>
      </c>
      <c r="G427" s="3">
        <v>-1.5855554753445709E-2</v>
      </c>
      <c r="H427" s="3">
        <f>(Sheet1!$Y$19*' Rolling-window portfolio analy'!B427+Sheet1!$Z$19*' Rolling-window portfolio analy'!C427+Sheet1!$AA$19*' Rolling-window portfolio analy'!D427+Sheet1!$AB$19*' Rolling-window portfolio analy'!E427+Sheet1!$AC$19*' Rolling-window portfolio analy'!F427)</f>
        <v>-1.6642521242813811E-2</v>
      </c>
      <c r="I427" s="6">
        <f t="shared" si="10"/>
        <v>2.1211311224774954</v>
      </c>
      <c r="J427" s="86">
        <f t="shared" si="11"/>
        <v>2.0133069847258021E-3</v>
      </c>
    </row>
    <row r="428" spans="1:10" x14ac:dyDescent="0.3">
      <c r="A428" s="2">
        <v>45411</v>
      </c>
      <c r="B428" s="3">
        <v>2.450531024782426E-2</v>
      </c>
      <c r="C428" s="3">
        <v>2.2792022890710147E-4</v>
      </c>
      <c r="D428" s="3">
        <v>0.14242717608993344</v>
      </c>
      <c r="E428" s="3">
        <v>1.1504819600921187E-2</v>
      </c>
      <c r="F428" s="3">
        <v>-1.1775097033194903E-3</v>
      </c>
      <c r="G428" s="3">
        <v>3.1734156874775382E-3</v>
      </c>
      <c r="H428" s="3">
        <f>(Sheet1!$Y$19*' Rolling-window portfolio analy'!B428+Sheet1!$Z$19*' Rolling-window portfolio analy'!C428+Sheet1!$AA$19*' Rolling-window portfolio analy'!D428+Sheet1!$AB$19*' Rolling-window portfolio analy'!E428+Sheet1!$AC$19*' Rolling-window portfolio analy'!F428)</f>
        <v>7.5929196889647811E-3</v>
      </c>
      <c r="I428" s="6">
        <f t="shared" si="10"/>
        <v>2.1166752328037273</v>
      </c>
      <c r="J428" s="86">
        <f t="shared" si="11"/>
        <v>2.0279335057243075E-3</v>
      </c>
    </row>
    <row r="429" spans="1:10" x14ac:dyDescent="0.3">
      <c r="A429" s="2">
        <v>45408</v>
      </c>
      <c r="B429" s="3">
        <v>-3.4788796547335459E-3</v>
      </c>
      <c r="C429" s="3">
        <v>6.0005085024974966E-2</v>
      </c>
      <c r="D429" s="3">
        <v>-1.1168018696429371E-2</v>
      </c>
      <c r="E429" s="3">
        <v>-1.391011240217049E-2</v>
      </c>
      <c r="F429" s="3">
        <v>-1.1761248047897194E-3</v>
      </c>
      <c r="G429" s="3">
        <v>1.0157373516560254E-2</v>
      </c>
      <c r="H429" s="3">
        <f>(Sheet1!$Y$19*' Rolling-window portfolio analy'!B429+Sheet1!$Z$19*' Rolling-window portfolio analy'!C429+Sheet1!$AA$19*' Rolling-window portfolio analy'!D429+Sheet1!$AB$19*' Rolling-window portfolio analy'!E429+Sheet1!$AC$19*' Rolling-window portfolio analy'!F429)</f>
        <v>3.7076992486645838E-2</v>
      </c>
      <c r="I429" s="6">
        <f t="shared" si="10"/>
        <v>2.0797795006915343</v>
      </c>
      <c r="J429" s="86">
        <f t="shared" si="11"/>
        <v>2.4415206308218184E-3</v>
      </c>
    </row>
    <row r="430" spans="1:10" x14ac:dyDescent="0.3">
      <c r="A430" s="2">
        <v>45407</v>
      </c>
      <c r="B430" s="3">
        <v>5.1341176774868519E-3</v>
      </c>
      <c r="C430" s="3">
        <v>3.6354197436750162E-2</v>
      </c>
      <c r="D430" s="3">
        <v>4.8458217859433557E-2</v>
      </c>
      <c r="E430" s="3">
        <v>1.9100171373419215E-2</v>
      </c>
      <c r="F430" s="3">
        <v>1.0635255339831305E-2</v>
      </c>
      <c r="G430" s="3">
        <v>-4.5869419014574458E-3</v>
      </c>
      <c r="H430" s="3">
        <f>(Sheet1!$Y$19*' Rolling-window portfolio analy'!B430+Sheet1!$Z$19*' Rolling-window portfolio analy'!C430+Sheet1!$AA$19*' Rolling-window portfolio analy'!D430+Sheet1!$AB$19*' Rolling-window portfolio analy'!E430+Sheet1!$AC$19*' Rolling-window portfolio analy'!F430)</f>
        <v>2.6975529480752321E-2</v>
      </c>
      <c r="I430" s="6">
        <f t="shared" si="10"/>
        <v>1.9803470917029145</v>
      </c>
      <c r="J430" s="86">
        <f t="shared" si="11"/>
        <v>3.1996943103977803E-3</v>
      </c>
    </row>
    <row r="431" spans="1:10" x14ac:dyDescent="0.3">
      <c r="A431" s="2">
        <v>45406</v>
      </c>
      <c r="B431" s="3">
        <v>1.2622220448546821E-2</v>
      </c>
      <c r="C431" s="3">
        <v>-3.3809512634328444E-2</v>
      </c>
      <c r="D431" s="3">
        <v>0.11387407547808058</v>
      </c>
      <c r="E431" s="3">
        <v>-1.0050335853501338E-2</v>
      </c>
      <c r="F431" s="3">
        <v>-3.0708656619166219E-2</v>
      </c>
      <c r="G431" s="3">
        <v>2.1297196541228134E-4</v>
      </c>
      <c r="H431" s="3">
        <f>(Sheet1!$Y$19*' Rolling-window portfolio analy'!B431+Sheet1!$Z$19*' Rolling-window portfolio analy'!C431+Sheet1!$AA$19*' Rolling-window portfolio analy'!D431+Sheet1!$AB$19*' Rolling-window portfolio analy'!E431+Sheet1!$AC$19*' Rolling-window portfolio analy'!F431)</f>
        <v>-1.9741088491347987E-2</v>
      </c>
      <c r="I431" s="6">
        <f t="shared" si="10"/>
        <v>1.9704414474089822</v>
      </c>
      <c r="J431" s="86">
        <f t="shared" si="11"/>
        <v>2.7397399463528955E-3</v>
      </c>
    </row>
    <row r="432" spans="1:10" x14ac:dyDescent="0.3">
      <c r="A432" s="2">
        <v>45405</v>
      </c>
      <c r="B432" s="3">
        <v>6.3713625402651809E-3</v>
      </c>
      <c r="C432" s="3">
        <v>3.5819563562352781E-2</v>
      </c>
      <c r="D432" s="3">
        <v>1.8345298783700146E-2</v>
      </c>
      <c r="E432" s="3">
        <v>1.649899938003507E-2</v>
      </c>
      <c r="F432" s="3">
        <v>2.8843400440863496E-3</v>
      </c>
      <c r="G432" s="3">
        <v>1.1893624576650831E-2</v>
      </c>
      <c r="H432" s="3">
        <f>(Sheet1!$Y$19*' Rolling-window portfolio analy'!B432+Sheet1!$Z$19*' Rolling-window portfolio analy'!C432+Sheet1!$AA$19*' Rolling-window portfolio analy'!D432+Sheet1!$AB$19*' Rolling-window portfolio analy'!E432+Sheet1!$AC$19*' Rolling-window portfolio analy'!F432)</f>
        <v>2.6631852761249318E-2</v>
      </c>
      <c r="I432" s="6">
        <f t="shared" si="10"/>
        <v>1.9503116524047748</v>
      </c>
      <c r="J432" s="86">
        <f t="shared" si="11"/>
        <v>2.8740116643030081E-3</v>
      </c>
    </row>
    <row r="433" spans="1:10" x14ac:dyDescent="0.3">
      <c r="A433" s="2">
        <v>45404</v>
      </c>
      <c r="B433" s="3">
        <v>5.0779942269434828E-3</v>
      </c>
      <c r="C433" s="3">
        <v>4.2647099655717835E-2</v>
      </c>
      <c r="D433" s="3">
        <v>-3.459355669980712E-2</v>
      </c>
      <c r="E433" s="3">
        <v>-4.3037262862167802E-3</v>
      </c>
      <c r="F433" s="3">
        <v>8.1206942787336121E-3</v>
      </c>
      <c r="G433" s="3">
        <v>8.6933277348877659E-3</v>
      </c>
      <c r="H433" s="3">
        <f>(Sheet1!$Y$19*' Rolling-window portfolio analy'!B433+Sheet1!$Z$19*' Rolling-window portfolio analy'!C433+Sheet1!$AA$19*' Rolling-window portfolio analy'!D433+Sheet1!$AB$19*' Rolling-window portfolio analy'!E433+Sheet1!$AC$19*' Rolling-window portfolio analy'!F433)</f>
        <v>2.8710437802403739E-2</v>
      </c>
      <c r="I433" s="6">
        <f t="shared" si="10"/>
        <v>2.0895516211112226</v>
      </c>
      <c r="J433" s="86">
        <f t="shared" si="11"/>
        <v>2.3785974973823077E-3</v>
      </c>
    </row>
    <row r="434" spans="1:10" x14ac:dyDescent="0.3">
      <c r="A434" s="2">
        <v>45401</v>
      </c>
      <c r="B434" s="3">
        <v>-1.2287830793693253E-2</v>
      </c>
      <c r="C434" s="3">
        <v>-0.10539988496158519</v>
      </c>
      <c r="D434" s="3">
        <v>-1.939585350680777E-2</v>
      </c>
      <c r="E434" s="3">
        <v>1.2345835822299362E-2</v>
      </c>
      <c r="F434" s="3">
        <v>-1.4549689748452339E-3</v>
      </c>
      <c r="G434" s="3">
        <v>-8.7971023365461913E-3</v>
      </c>
      <c r="H434" s="3">
        <f>(Sheet1!$Y$19*' Rolling-window portfolio analy'!B434+Sheet1!$Z$19*' Rolling-window portfolio analy'!C434+Sheet1!$AA$19*' Rolling-window portfolio analy'!D434+Sheet1!$AB$19*' Rolling-window portfolio analy'!E434+Sheet1!$AC$19*' Rolling-window portfolio analy'!F434)</f>
        <v>-7.0919106786783814E-2</v>
      </c>
      <c r="I434" s="6">
        <f t="shared" si="10"/>
        <v>2.1907822289999324</v>
      </c>
      <c r="J434" s="86">
        <f t="shared" si="11"/>
        <v>1.6842126511299972E-3</v>
      </c>
    </row>
    <row r="435" spans="1:10" x14ac:dyDescent="0.3">
      <c r="A435" s="2">
        <v>45400</v>
      </c>
      <c r="B435" s="3">
        <v>-5.7306747089850953E-3</v>
      </c>
      <c r="C435" s="3">
        <v>7.4684716773862157E-3</v>
      </c>
      <c r="D435" s="3">
        <v>-3.6155617997950966E-2</v>
      </c>
      <c r="E435" s="3">
        <v>5.6057449817940325E-3</v>
      </c>
      <c r="F435" s="3">
        <v>6.7104555238059254E-3</v>
      </c>
      <c r="G435" s="3">
        <v>-2.2106328639260849E-3</v>
      </c>
      <c r="H435" s="3">
        <f>(Sheet1!$Y$19*' Rolling-window portfolio analy'!B435+Sheet1!$Z$19*' Rolling-window portfolio analy'!C435+Sheet1!$AA$19*' Rolling-window portfolio analy'!D435+Sheet1!$AB$19*' Rolling-window portfolio analy'!E435+Sheet1!$AC$19*' Rolling-window portfolio analy'!F435)</f>
        <v>3.9302551855511349E-3</v>
      </c>
      <c r="I435" s="6">
        <f t="shared" si="10"/>
        <v>2.2302775203173972</v>
      </c>
      <c r="J435" s="86">
        <f t="shared" si="11"/>
        <v>2.1383226402192576E-3</v>
      </c>
    </row>
    <row r="436" spans="1:10" x14ac:dyDescent="0.3">
      <c r="A436" s="2">
        <v>45399</v>
      </c>
      <c r="B436" s="3">
        <v>-8.1807320901940254E-3</v>
      </c>
      <c r="C436" s="3">
        <v>-3.9431213458368704E-2</v>
      </c>
      <c r="D436" s="3">
        <v>-1.0622060454743306E-2</v>
      </c>
      <c r="E436" s="3">
        <v>-2.4953225674015089E-3</v>
      </c>
      <c r="F436" s="3">
        <v>-1.9710783063933111E-2</v>
      </c>
      <c r="G436" s="3">
        <v>-5.797336366096615E-3</v>
      </c>
      <c r="H436" s="3">
        <f>(Sheet1!$Y$19*' Rolling-window portfolio analy'!B436+Sheet1!$Z$19*' Rolling-window portfolio analy'!C436+Sheet1!$AA$19*' Rolling-window portfolio analy'!D436+Sheet1!$AB$19*' Rolling-window portfolio analy'!E436+Sheet1!$AC$19*' Rolling-window portfolio analy'!F436)</f>
        <v>-2.8103745827210661E-2</v>
      </c>
      <c r="I436" s="6">
        <f t="shared" si="10"/>
        <v>2.2968481815924542</v>
      </c>
      <c r="J436" s="86">
        <f t="shared" si="11"/>
        <v>1.8274656502288975E-3</v>
      </c>
    </row>
    <row r="437" spans="1:10" x14ac:dyDescent="0.3">
      <c r="A437" s="2">
        <v>45398</v>
      </c>
      <c r="B437" s="3">
        <v>-1.935336810312574E-2</v>
      </c>
      <c r="C437" s="3">
        <v>1.6376793181660788E-2</v>
      </c>
      <c r="D437" s="3">
        <v>-2.7435099025233882E-2</v>
      </c>
      <c r="E437" s="3">
        <v>-1.0844413014128853E-2</v>
      </c>
      <c r="F437" s="3">
        <v>-8.5739307746490138E-3</v>
      </c>
      <c r="G437" s="3">
        <v>-2.0586901863485071E-3</v>
      </c>
      <c r="H437" s="3">
        <f>(Sheet1!$Y$19*' Rolling-window portfolio analy'!B437+Sheet1!$Z$19*' Rolling-window portfolio analy'!C437+Sheet1!$AA$19*' Rolling-window portfolio analy'!D437+Sheet1!$AB$19*' Rolling-window portfolio analy'!E437+Sheet1!$AC$19*' Rolling-window portfolio analy'!F437)</f>
        <v>4.8296403550762042E-3</v>
      </c>
      <c r="I437" s="6">
        <f t="shared" si="10"/>
        <v>2.2854231834911398</v>
      </c>
      <c r="J437" s="86">
        <f t="shared" si="11"/>
        <v>2.0036380875622299E-3</v>
      </c>
    </row>
    <row r="438" spans="1:10" x14ac:dyDescent="0.3">
      <c r="A438" s="2">
        <v>45397</v>
      </c>
      <c r="B438" s="3">
        <v>-2.2106042777816807E-2</v>
      </c>
      <c r="C438" s="3">
        <v>-2.5146281646581704E-2</v>
      </c>
      <c r="D438" s="3">
        <v>-5.7574615438873752E-2</v>
      </c>
      <c r="E438" s="3">
        <v>-1.8321123147596131E-2</v>
      </c>
      <c r="F438" s="3">
        <v>-5.67538413259926E-3</v>
      </c>
      <c r="G438" s="3">
        <v>-1.2094130563305876E-2</v>
      </c>
      <c r="H438" s="3">
        <f>(Sheet1!$Y$19*' Rolling-window portfolio analy'!B438+Sheet1!$Z$19*' Rolling-window portfolio analy'!C438+Sheet1!$AA$19*' Rolling-window portfolio analy'!D438+Sheet1!$AB$19*' Rolling-window portfolio analy'!E438+Sheet1!$AC$19*' Rolling-window portfolio analy'!F438)</f>
        <v>-2.3801600796252258E-2</v>
      </c>
      <c r="I438" s="6">
        <f t="shared" si="10"/>
        <v>2.1568376023359561</v>
      </c>
      <c r="J438" s="86">
        <f t="shared" si="11"/>
        <v>2.6092738798960541E-3</v>
      </c>
    </row>
    <row r="439" spans="1:10" x14ac:dyDescent="0.3">
      <c r="A439" s="2">
        <v>45394</v>
      </c>
      <c r="B439" s="3">
        <v>8.5896031407790355E-3</v>
      </c>
      <c r="C439" s="3">
        <v>-2.7181361338902834E-2</v>
      </c>
      <c r="D439" s="3">
        <v>-2.0541731981888071E-2</v>
      </c>
      <c r="E439" s="3">
        <v>-2.8044797410329465E-2</v>
      </c>
      <c r="F439" s="3">
        <v>-2.5434519858301445E-3</v>
      </c>
      <c r="G439" s="3">
        <v>-1.4657607029448559E-2</v>
      </c>
      <c r="H439" s="3">
        <f>(Sheet1!$Y$19*' Rolling-window portfolio analy'!B439+Sheet1!$Z$19*' Rolling-window portfolio analy'!C439+Sheet1!$AA$19*' Rolling-window portfolio analy'!D439+Sheet1!$AB$19*' Rolling-window portfolio analy'!E439+Sheet1!$AC$19*' Rolling-window portfolio analy'!F439)</f>
        <v>-1.8355609772833726E-2</v>
      </c>
      <c r="I439" s="6">
        <f t="shared" si="10"/>
        <v>2.0862790217337199</v>
      </c>
      <c r="J439" s="86">
        <f t="shared" si="11"/>
        <v>2.8806675727410282E-3</v>
      </c>
    </row>
    <row r="440" spans="1:10" x14ac:dyDescent="0.3">
      <c r="A440" s="2">
        <v>45393</v>
      </c>
      <c r="B440" s="3">
        <v>4.2360921815467849E-2</v>
      </c>
      <c r="C440" s="3">
        <v>4.0307156131359545E-2</v>
      </c>
      <c r="D440" s="3">
        <v>1.6399489834976251E-2</v>
      </c>
      <c r="E440" s="3">
        <v>-4.696222308774387E-3</v>
      </c>
      <c r="F440" s="3">
        <v>5.6465275356827626E-4</v>
      </c>
      <c r="G440" s="3">
        <v>7.4172372058720279E-3</v>
      </c>
      <c r="H440" s="3">
        <f>(Sheet1!$Y$19*' Rolling-window portfolio analy'!B440+Sheet1!$Z$19*' Rolling-window portfolio analy'!C440+Sheet1!$AA$19*' Rolling-window portfolio analy'!D440+Sheet1!$AB$19*' Rolling-window portfolio analy'!E440+Sheet1!$AC$19*' Rolling-window portfolio analy'!F440)</f>
        <v>3.6505475663110486E-2</v>
      </c>
      <c r="I440" s="6">
        <f t="shared" si="10"/>
        <v>2.137272691338171</v>
      </c>
      <c r="J440" s="86">
        <f t="shared" si="11"/>
        <v>2.9503673720478918E-3</v>
      </c>
    </row>
    <row r="441" spans="1:10" x14ac:dyDescent="0.3">
      <c r="A441" s="2">
        <v>45392</v>
      </c>
      <c r="B441" s="3">
        <v>-1.120177663669957E-2</v>
      </c>
      <c r="C441" s="3">
        <v>1.9607333867182976E-2</v>
      </c>
      <c r="D441" s="3">
        <v>-2.9373382978665246E-2</v>
      </c>
      <c r="E441" s="3">
        <v>-1.1706176344108764E-3</v>
      </c>
      <c r="F441" s="3">
        <v>-1.513481804324348E-2</v>
      </c>
      <c r="G441" s="3">
        <v>-9.5019783338873547E-3</v>
      </c>
      <c r="H441" s="3">
        <f>(Sheet1!$Y$19*' Rolling-window portfolio analy'!B441+Sheet1!$Z$19*' Rolling-window portfolio analy'!C441+Sheet1!$AA$19*' Rolling-window portfolio analy'!D441+Sheet1!$AB$19*' Rolling-window portfolio analy'!E441+Sheet1!$AC$19*' Rolling-window portfolio analy'!F441)</f>
        <v>9.8857981717535258E-3</v>
      </c>
      <c r="I441" s="6">
        <f t="shared" si="10"/>
        <v>2.0180187922100017</v>
      </c>
      <c r="J441" s="86">
        <f t="shared" si="11"/>
        <v>3.3740486909518172E-3</v>
      </c>
    </row>
    <row r="442" spans="1:10" x14ac:dyDescent="0.3">
      <c r="A442" s="2">
        <v>45391</v>
      </c>
      <c r="B442" s="3">
        <v>7.216404202286154E-3</v>
      </c>
      <c r="C442" s="3">
        <v>-2.0640807002745874E-2</v>
      </c>
      <c r="D442" s="3">
        <v>2.2295555670825175E-2</v>
      </c>
      <c r="E442" s="3">
        <v>-1.7533610570244732E-3</v>
      </c>
      <c r="F442" s="3">
        <v>-2.7777795639022749E-3</v>
      </c>
      <c r="G442" s="3">
        <v>1.4444457627020377E-3</v>
      </c>
      <c r="H442" s="3">
        <f>(Sheet1!$Y$19*' Rolling-window portfolio analy'!B442+Sheet1!$Z$19*' Rolling-window portfolio analy'!C442+Sheet1!$AA$19*' Rolling-window portfolio analy'!D442+Sheet1!$AB$19*' Rolling-window portfolio analy'!E442+Sheet1!$AC$19*' Rolling-window portfolio analy'!F442)</f>
        <v>-1.1843654374798146E-2</v>
      </c>
      <c r="I442" s="6">
        <f t="shared" si="10"/>
        <v>2.055298411469122</v>
      </c>
      <c r="J442" s="86">
        <f t="shared" si="11"/>
        <v>3.4107093019430114E-3</v>
      </c>
    </row>
    <row r="443" spans="1:10" x14ac:dyDescent="0.3">
      <c r="A443" s="2">
        <v>45390</v>
      </c>
      <c r="B443" s="3">
        <v>-6.6858220232951793E-3</v>
      </c>
      <c r="C443" s="3">
        <v>-1.0049188142525025E-2</v>
      </c>
      <c r="D443" s="3">
        <v>4.7836751312812432E-2</v>
      </c>
      <c r="E443" s="3">
        <v>-1.7502921621241057E-3</v>
      </c>
      <c r="F443" s="3">
        <v>-6.9108775398470275E-3</v>
      </c>
      <c r="G443" s="3">
        <v>-3.747574930495873E-4</v>
      </c>
      <c r="H443" s="3">
        <f>(Sheet1!$Y$19*' Rolling-window portfolio analy'!B443+Sheet1!$Z$19*' Rolling-window portfolio analy'!C443+Sheet1!$AA$19*' Rolling-window portfolio analy'!D443+Sheet1!$AB$19*' Rolling-window portfolio analy'!E443+Sheet1!$AC$19*' Rolling-window portfolio analy'!F443)</f>
        <v>-8.3205526333339341E-3</v>
      </c>
      <c r="I443" s="6">
        <f t="shared" si="10"/>
        <v>2.0327873753793035</v>
      </c>
      <c r="J443" s="86">
        <f t="shared" si="11"/>
        <v>2.9725584382432058E-3</v>
      </c>
    </row>
    <row r="444" spans="1:10" x14ac:dyDescent="0.3">
      <c r="A444" s="2">
        <v>45387</v>
      </c>
      <c r="B444" s="3">
        <v>4.4917333202830713E-3</v>
      </c>
      <c r="C444" s="3">
        <v>2.426661539551056E-2</v>
      </c>
      <c r="D444" s="3">
        <v>-3.6967394978325893E-2</v>
      </c>
      <c r="E444" s="3">
        <v>1.143204594665595E-2</v>
      </c>
      <c r="F444" s="3">
        <v>4.9710127220204021E-3</v>
      </c>
      <c r="G444" s="3">
        <v>1.1038072569656417E-2</v>
      </c>
      <c r="H444" s="3">
        <f>(Sheet1!$Y$19*' Rolling-window portfolio analy'!B444+Sheet1!$Z$19*' Rolling-window portfolio analy'!C444+Sheet1!$AA$19*' Rolling-window portfolio analy'!D444+Sheet1!$AB$19*' Rolling-window portfolio analy'!E444+Sheet1!$AC$19*' Rolling-window portfolio analy'!F444)</f>
        <v>1.8020391973996248E-2</v>
      </c>
      <c r="I444" s="6">
        <f t="shared" si="10"/>
        <v>2.0462162123875021</v>
      </c>
      <c r="J444" s="86">
        <f t="shared" si="11"/>
        <v>3.1821834751777946E-3</v>
      </c>
    </row>
    <row r="445" spans="1:10" x14ac:dyDescent="0.3">
      <c r="A445" s="2">
        <v>45386</v>
      </c>
      <c r="B445" s="3">
        <v>-4.9044326746653004E-3</v>
      </c>
      <c r="C445" s="3">
        <v>-3.5003001512062364E-2</v>
      </c>
      <c r="D445" s="3">
        <v>1.6083294634361145E-2</v>
      </c>
      <c r="E445" s="3">
        <v>1.179941139848548E-3</v>
      </c>
      <c r="F445" s="3">
        <v>-8.2713457506773062E-3</v>
      </c>
      <c r="G445" s="3">
        <v>-1.2410983057457463E-2</v>
      </c>
      <c r="H445" s="3">
        <f>(Sheet1!$Y$19*' Rolling-window portfolio analy'!B445+Sheet1!$Z$19*' Rolling-window portfolio analy'!C445+Sheet1!$AA$19*' Rolling-window portfolio analy'!D445+Sheet1!$AB$19*' Rolling-window portfolio analy'!E445+Sheet1!$AC$19*' Rolling-window portfolio analy'!F445)</f>
        <v>-2.3993016723126506E-2</v>
      </c>
      <c r="I445" s="6">
        <f t="shared" si="10"/>
        <v>2.052706721000046</v>
      </c>
      <c r="J445" s="86">
        <f t="shared" si="11"/>
        <v>3.1154495624805927E-3</v>
      </c>
    </row>
    <row r="446" spans="1:10" x14ac:dyDescent="0.3">
      <c r="A446" s="2">
        <v>45385</v>
      </c>
      <c r="B446" s="3">
        <v>4.7859703159410811E-3</v>
      </c>
      <c r="C446" s="3">
        <v>-5.4929794524559766E-3</v>
      </c>
      <c r="D446" s="3">
        <v>1.0447544358985711E-2</v>
      </c>
      <c r="E446" s="3">
        <v>8.596466159652252E-3</v>
      </c>
      <c r="F446" s="3">
        <v>-2.4681213680835461E-3</v>
      </c>
      <c r="G446" s="3">
        <v>1.0904938060488179E-3</v>
      </c>
      <c r="H446" s="3">
        <f>(Sheet1!$Y$19*' Rolling-window portfolio analy'!B446+Sheet1!$Z$19*' Rolling-window portfolio analy'!C446+Sheet1!$AA$19*' Rolling-window portfolio analy'!D446+Sheet1!$AB$19*' Rolling-window portfolio analy'!E446+Sheet1!$AC$19*' Rolling-window portfolio analy'!F446)</f>
        <v>-1.571337439321651E-3</v>
      </c>
      <c r="I446" s="6">
        <f t="shared" si="10"/>
        <v>2.0541008748691549</v>
      </c>
      <c r="J446" s="86">
        <f t="shared" si="11"/>
        <v>2.9844197434550344E-3</v>
      </c>
    </row>
    <row r="447" spans="1:10" x14ac:dyDescent="0.3">
      <c r="A447" s="2">
        <v>45384</v>
      </c>
      <c r="B447" s="3">
        <v>-7.0233711550964639E-3</v>
      </c>
      <c r="C447" s="3">
        <v>-1.0121881645074307E-2</v>
      </c>
      <c r="D447" s="3">
        <v>-5.0266541687685684E-2</v>
      </c>
      <c r="E447" s="3">
        <v>4.4756154077006307E-3</v>
      </c>
      <c r="F447" s="3">
        <v>-7.3680235086296701E-3</v>
      </c>
      <c r="G447" s="3">
        <v>-7.2653957344673645E-3</v>
      </c>
      <c r="H447" s="3">
        <f>(Sheet1!$Y$19*' Rolling-window portfolio analy'!B447+Sheet1!$Z$19*' Rolling-window portfolio analy'!C447+Sheet1!$AA$19*' Rolling-window portfolio analy'!D447+Sheet1!$AB$19*' Rolling-window portfolio analy'!E447+Sheet1!$AC$19*' Rolling-window portfolio analy'!F447)</f>
        <v>-8.0394146523098814E-3</v>
      </c>
      <c r="I447" s="6">
        <f t="shared" ref="I447:I510" si="12">SLOPE(H388:H447,G388:G447)</f>
        <v>2.0430949584324321</v>
      </c>
      <c r="J447" s="86">
        <f t="shared" ref="J447:J510" si="13">AVERAGE(H388:H447)-($N$1+I447*(AVERAGE(G388:G447)-$N$1))</f>
        <v>3.3321387716296583E-3</v>
      </c>
    </row>
    <row r="448" spans="1:10" x14ac:dyDescent="0.3">
      <c r="A448" s="2">
        <v>45383</v>
      </c>
      <c r="B448" s="3">
        <v>-8.4917496603818012E-3</v>
      </c>
      <c r="C448" s="3">
        <v>0</v>
      </c>
      <c r="D448" s="3">
        <v>-3.2477735735818264E-3</v>
      </c>
      <c r="E448" s="3">
        <v>-1.7926506145199395E-3</v>
      </c>
      <c r="F448" s="3">
        <v>-7.853797986465804E-3</v>
      </c>
      <c r="G448" s="3">
        <v>-2.0155996658250933E-3</v>
      </c>
      <c r="H448" s="3">
        <f>(Sheet1!$Y$19*' Rolling-window portfolio analy'!B448+Sheet1!$Z$19*' Rolling-window portfolio analy'!C448+Sheet1!$AA$19*' Rolling-window portfolio analy'!D448+Sheet1!$AB$19*' Rolling-window portfolio analy'!E448+Sheet1!$AC$19*' Rolling-window portfolio analy'!F448)</f>
        <v>-2.2876926697546324E-3</v>
      </c>
      <c r="I448" s="6">
        <f t="shared" si="12"/>
        <v>2.0446917486214904</v>
      </c>
      <c r="J448" s="86">
        <f t="shared" si="13"/>
        <v>3.322406788629139E-3</v>
      </c>
    </row>
    <row r="449" spans="1:10" x14ac:dyDescent="0.3">
      <c r="A449" s="2">
        <v>45379</v>
      </c>
      <c r="B449" s="3">
        <v>-1.0615256731507589E-2</v>
      </c>
      <c r="C449" s="3">
        <v>1.2180943868121805E-3</v>
      </c>
      <c r="D449" s="3">
        <v>-2.2721859365306012E-2</v>
      </c>
      <c r="E449" s="3">
        <v>1.2314316897499891E-2</v>
      </c>
      <c r="F449" s="3">
        <v>6.223805775534697E-3</v>
      </c>
      <c r="G449" s="3">
        <v>1.1158887706710923E-3</v>
      </c>
      <c r="H449" s="3">
        <f>(Sheet1!$Y$19*' Rolling-window portfolio analy'!B449+Sheet1!$Z$19*' Rolling-window portfolio analy'!C449+Sheet1!$AA$19*' Rolling-window portfolio analy'!D449+Sheet1!$AB$19*' Rolling-window portfolio analy'!E449+Sheet1!$AC$19*' Rolling-window portfolio analy'!F449)</f>
        <v>-7.1547636403236181E-4</v>
      </c>
      <c r="I449" s="6">
        <f t="shared" si="12"/>
        <v>2.0017317533612173</v>
      </c>
      <c r="J449" s="86">
        <f t="shared" si="13"/>
        <v>2.6733682829978202E-3</v>
      </c>
    </row>
    <row r="450" spans="1:10" x14ac:dyDescent="0.3">
      <c r="A450" s="2">
        <v>45378</v>
      </c>
      <c r="B450" s="3">
        <v>2.0990800438109806E-2</v>
      </c>
      <c r="C450" s="3">
        <v>-2.5273485672430849E-2</v>
      </c>
      <c r="D450" s="3">
        <v>1.208406312929099E-2</v>
      </c>
      <c r="E450" s="3">
        <v>7.8883904200196583E-3</v>
      </c>
      <c r="F450" s="3">
        <v>1.9460666227557252E-2</v>
      </c>
      <c r="G450" s="3">
        <v>8.5935659407079552E-3</v>
      </c>
      <c r="H450" s="3">
        <f>(Sheet1!$Y$19*' Rolling-window portfolio analy'!B450+Sheet1!$Z$19*' Rolling-window portfolio analy'!C450+Sheet1!$AA$19*' Rolling-window portfolio analy'!D450+Sheet1!$AB$19*' Rolling-window portfolio analy'!E450+Sheet1!$AC$19*' Rolling-window portfolio analy'!F450)</f>
        <v>-1.0554848899768814E-2</v>
      </c>
      <c r="I450" s="6">
        <f t="shared" si="12"/>
        <v>1.8633505870298885</v>
      </c>
      <c r="J450" s="86">
        <f t="shared" si="13"/>
        <v>2.8714366821140907E-3</v>
      </c>
    </row>
    <row r="451" spans="1:10" x14ac:dyDescent="0.3">
      <c r="A451" s="2">
        <v>45377</v>
      </c>
      <c r="B451" s="3">
        <v>-6.6948805381267596E-3</v>
      </c>
      <c r="C451" s="3">
        <v>-2.6019808715119663E-2</v>
      </c>
      <c r="D451" s="3">
        <v>2.8777321219357159E-2</v>
      </c>
      <c r="E451" s="3">
        <v>-1.3914320073432284E-2</v>
      </c>
      <c r="F451" s="3">
        <v>-1.9460666227557249E-2</v>
      </c>
      <c r="G451" s="3">
        <v>-2.8037482252575453E-3</v>
      </c>
      <c r="H451" s="3">
        <f>(Sheet1!$Y$19*' Rolling-window portfolio analy'!B451+Sheet1!$Z$19*' Rolling-window portfolio analy'!C451+Sheet1!$AA$19*' Rolling-window portfolio analy'!D451+Sheet1!$AB$19*' Rolling-window portfolio analy'!E451+Sheet1!$AC$19*' Rolling-window portfolio analy'!F451)</f>
        <v>-1.996631640157526E-2</v>
      </c>
      <c r="I451" s="6">
        <f t="shared" si="12"/>
        <v>1.865686137205339</v>
      </c>
      <c r="J451" s="86">
        <f t="shared" si="13"/>
        <v>2.977909726366146E-3</v>
      </c>
    </row>
    <row r="452" spans="1:10" x14ac:dyDescent="0.3">
      <c r="A452" s="2">
        <v>45376</v>
      </c>
      <c r="B452" s="3">
        <v>-8.3350816246090791E-3</v>
      </c>
      <c r="C452" s="3">
        <v>7.5017521229547909E-3</v>
      </c>
      <c r="D452" s="3">
        <v>1.0481665869491241E-2</v>
      </c>
      <c r="E452" s="3">
        <v>-4.4957366295672041E-3</v>
      </c>
      <c r="F452" s="3">
        <v>-1.374870019172012E-2</v>
      </c>
      <c r="G452" s="3">
        <v>-3.0595955699421543E-3</v>
      </c>
      <c r="H452" s="3">
        <f>(Sheet1!$Y$19*' Rolling-window portfolio analy'!B452+Sheet1!$Z$19*' Rolling-window portfolio analy'!C452+Sheet1!$AA$19*' Rolling-window portfolio analy'!D452+Sheet1!$AB$19*' Rolling-window portfolio analy'!E452+Sheet1!$AC$19*' Rolling-window portfolio analy'!F452)</f>
        <v>2.4307210056481805E-3</v>
      </c>
      <c r="I452" s="6">
        <f t="shared" si="12"/>
        <v>1.8283580346216215</v>
      </c>
      <c r="J452" s="86">
        <f t="shared" si="13"/>
        <v>3.5019324400295065E-3</v>
      </c>
    </row>
    <row r="453" spans="1:10" x14ac:dyDescent="0.3">
      <c r="A453" s="2">
        <v>45373</v>
      </c>
      <c r="B453" s="3">
        <v>5.2960985131520685E-3</v>
      </c>
      <c r="C453" s="3">
        <v>3.0801487301250711E-2</v>
      </c>
      <c r="D453" s="3">
        <v>-1.1581680454286902E-2</v>
      </c>
      <c r="E453" s="3">
        <v>-9.5238815112554786E-3</v>
      </c>
      <c r="F453" s="3">
        <v>-1.3826330334877065E-2</v>
      </c>
      <c r="G453" s="3">
        <v>-1.4032464064151588E-3</v>
      </c>
      <c r="H453" s="3">
        <f>(Sheet1!$Y$19*' Rolling-window portfolio analy'!B453+Sheet1!$Z$19*' Rolling-window portfolio analy'!C453+Sheet1!$AA$19*' Rolling-window portfolio analy'!D453+Sheet1!$AB$19*' Rolling-window portfolio analy'!E453+Sheet1!$AC$19*' Rolling-window portfolio analy'!F453)</f>
        <v>2.0556577127422895E-2</v>
      </c>
      <c r="I453" s="6">
        <f t="shared" si="12"/>
        <v>1.8050992377987976</v>
      </c>
      <c r="J453" s="86">
        <f t="shared" si="13"/>
        <v>3.6412477159862462E-3</v>
      </c>
    </row>
    <row r="454" spans="1:10" x14ac:dyDescent="0.3">
      <c r="A454" s="2">
        <v>45372</v>
      </c>
      <c r="B454" s="3">
        <v>-4.1715567272317969E-2</v>
      </c>
      <c r="C454" s="3">
        <v>1.166129826247075E-2</v>
      </c>
      <c r="D454" s="3">
        <v>-1.6299718075718082E-2</v>
      </c>
      <c r="E454" s="3">
        <v>1.1020215772193073E-2</v>
      </c>
      <c r="F454" s="3">
        <v>6.8892694314582996E-3</v>
      </c>
      <c r="G454" s="3">
        <v>3.2313725131378058E-3</v>
      </c>
      <c r="H454" s="3">
        <f>(Sheet1!$Y$19*' Rolling-window portfolio analy'!B454+Sheet1!$Z$19*' Rolling-window portfolio analy'!C454+Sheet1!$AA$19*' Rolling-window portfolio analy'!D454+Sheet1!$AB$19*' Rolling-window portfolio analy'!E454+Sheet1!$AC$19*' Rolling-window portfolio analy'!F454)</f>
        <v>-1.7241231347517947E-3</v>
      </c>
      <c r="I454" s="6">
        <f t="shared" si="12"/>
        <v>1.8307444397049162</v>
      </c>
      <c r="J454" s="86">
        <f t="shared" si="13"/>
        <v>3.6778258799019742E-3</v>
      </c>
    </row>
    <row r="455" spans="1:10" x14ac:dyDescent="0.3">
      <c r="A455" s="2">
        <v>45371</v>
      </c>
      <c r="B455" s="3">
        <v>1.4602091726869399E-2</v>
      </c>
      <c r="C455" s="3">
        <v>1.0791671734395877E-2</v>
      </c>
      <c r="D455" s="3">
        <v>2.5017155741801141E-2</v>
      </c>
      <c r="E455" s="3">
        <v>5.1043497704143558E-3</v>
      </c>
      <c r="F455" s="3">
        <v>1.689274652326625E-2</v>
      </c>
      <c r="G455" s="3">
        <v>8.8646978273410684E-3</v>
      </c>
      <c r="H455" s="3">
        <f>(Sheet1!$Y$19*' Rolling-window portfolio analy'!B455+Sheet1!$Z$19*' Rolling-window portfolio analy'!C455+Sheet1!$AA$19*' Rolling-window portfolio analy'!D455+Sheet1!$AB$19*' Rolling-window portfolio analy'!E455+Sheet1!$AC$19*' Rolling-window portfolio analy'!F455)</f>
        <v>1.122555293840756E-2</v>
      </c>
      <c r="I455" s="6">
        <f t="shared" si="12"/>
        <v>1.8079298480435662</v>
      </c>
      <c r="J455" s="86">
        <f t="shared" si="13"/>
        <v>3.4695823668095529E-3</v>
      </c>
    </row>
    <row r="456" spans="1:10" x14ac:dyDescent="0.3">
      <c r="A456" s="2">
        <v>45370</v>
      </c>
      <c r="B456" s="3">
        <v>1.3493629551585165E-2</v>
      </c>
      <c r="C456" s="3">
        <v>1.057020973928793E-2</v>
      </c>
      <c r="D456" s="3">
        <v>-1.4372060084121584E-2</v>
      </c>
      <c r="E456" s="3">
        <v>2.5302371001910764E-2</v>
      </c>
      <c r="F456" s="3">
        <v>-8.8841612740877957E-3</v>
      </c>
      <c r="G456" s="3">
        <v>5.6332831318901015E-3</v>
      </c>
      <c r="H456" s="3">
        <f>(Sheet1!$Y$19*' Rolling-window portfolio analy'!B456+Sheet1!$Z$19*' Rolling-window portfolio analy'!C456+Sheet1!$AA$19*' Rolling-window portfolio analy'!D456+Sheet1!$AB$19*' Rolling-window portfolio analy'!E456+Sheet1!$AC$19*' Rolling-window portfolio analy'!F456)</f>
        <v>1.2649480602298594E-2</v>
      </c>
      <c r="I456" s="6">
        <f t="shared" si="12"/>
        <v>1.7986081339412572</v>
      </c>
      <c r="J456" s="86">
        <f t="shared" si="13"/>
        <v>3.2166511183183452E-3</v>
      </c>
    </row>
    <row r="457" spans="1:10" x14ac:dyDescent="0.3">
      <c r="A457" s="2">
        <v>45369</v>
      </c>
      <c r="B457" s="3">
        <v>6.3521608751096097E-3</v>
      </c>
      <c r="C457" s="3">
        <v>7.0334946789600873E-3</v>
      </c>
      <c r="D457" s="3">
        <v>6.0664179560857595E-2</v>
      </c>
      <c r="E457" s="3">
        <v>2.1634995303432187E-3</v>
      </c>
      <c r="F457" s="3">
        <v>9.1546142845259221E-3</v>
      </c>
      <c r="G457" s="3">
        <v>6.2981688751588584E-3</v>
      </c>
      <c r="H457" s="3">
        <f>(Sheet1!$Y$19*' Rolling-window portfolio analy'!B457+Sheet1!$Z$19*' Rolling-window portfolio analy'!C457+Sheet1!$AA$19*' Rolling-window portfolio analy'!D457+Sheet1!$AB$19*' Rolling-window portfolio analy'!E457+Sheet1!$AC$19*' Rolling-window portfolio analy'!F457)</f>
        <v>6.499354780330837E-3</v>
      </c>
      <c r="I457" s="6">
        <f t="shared" si="12"/>
        <v>1.7508119940891638</v>
      </c>
      <c r="J457" s="86">
        <f t="shared" si="13"/>
        <v>2.9232131220043433E-3</v>
      </c>
    </row>
    <row r="458" spans="1:10" x14ac:dyDescent="0.3">
      <c r="A458" s="2">
        <v>45366</v>
      </c>
      <c r="B458" s="3">
        <v>-2.1989477062673733E-3</v>
      </c>
      <c r="C458" s="3">
        <v>-1.1377859914434799E-3</v>
      </c>
      <c r="D458" s="3">
        <v>6.5630315006420994E-3</v>
      </c>
      <c r="E458" s="3">
        <v>1.1827090866028185E-2</v>
      </c>
      <c r="F458" s="3">
        <v>-1.6216219769808681E-3</v>
      </c>
      <c r="G458" s="3">
        <v>-6.5039961169264899E-3</v>
      </c>
      <c r="H458" s="3">
        <f>(Sheet1!$Y$19*' Rolling-window portfolio analy'!B458+Sheet1!$Z$19*' Rolling-window portfolio analy'!C458+Sheet1!$AA$19*' Rolling-window portfolio analy'!D458+Sheet1!$AB$19*' Rolling-window portfolio analy'!E458+Sheet1!$AC$19*' Rolling-window portfolio analy'!F458)</f>
        <v>-1.5785354168953427E-4</v>
      </c>
      <c r="I458" s="6">
        <f t="shared" si="12"/>
        <v>1.7260108360287212</v>
      </c>
      <c r="J458" s="86">
        <f t="shared" si="13"/>
        <v>3.000695360494199E-3</v>
      </c>
    </row>
    <row r="459" spans="1:10" x14ac:dyDescent="0.3">
      <c r="A459" s="2">
        <v>45365</v>
      </c>
      <c r="B459" s="3">
        <v>1.0868092908418524E-2</v>
      </c>
      <c r="C459" s="3">
        <v>-3.2995220378015021E-2</v>
      </c>
      <c r="D459" s="3">
        <v>-4.2056923988566246E-2</v>
      </c>
      <c r="E459" s="3">
        <v>5.9664174481658342E-3</v>
      </c>
      <c r="F459" s="3">
        <v>-2.005146714784212E-2</v>
      </c>
      <c r="G459" s="3">
        <v>-2.8752059156686048E-3</v>
      </c>
      <c r="H459" s="3">
        <f>(Sheet1!$Y$19*' Rolling-window portfolio analy'!B459+Sheet1!$Z$19*' Rolling-window portfolio analy'!C459+Sheet1!$AA$19*' Rolling-window portfolio analy'!D459+Sheet1!$AB$19*' Rolling-window portfolio analy'!E459+Sheet1!$AC$19*' Rolling-window portfolio analy'!F459)</f>
        <v>-1.8407682193405193E-2</v>
      </c>
      <c r="I459" s="6">
        <f t="shared" si="12"/>
        <v>1.7495329727433413</v>
      </c>
      <c r="J459" s="86">
        <f t="shared" si="13"/>
        <v>2.8013400797995726E-3</v>
      </c>
    </row>
    <row r="460" spans="1:10" x14ac:dyDescent="0.3">
      <c r="A460" s="2">
        <v>45364</v>
      </c>
      <c r="B460" s="3">
        <v>-1.2196689701489101E-2</v>
      </c>
      <c r="C460" s="3">
        <v>-1.1159853239339058E-2</v>
      </c>
      <c r="D460" s="3">
        <v>-4.6461009881814855E-2</v>
      </c>
      <c r="E460" s="3">
        <v>8.2226902257674372E-3</v>
      </c>
      <c r="F460" s="3">
        <v>-1.0582011569479615E-3</v>
      </c>
      <c r="G460" s="3">
        <v>-1.926391571868686E-3</v>
      </c>
      <c r="H460" s="3">
        <f>(Sheet1!$Y$19*' Rolling-window portfolio analy'!B460+Sheet1!$Z$19*' Rolling-window portfolio analy'!C460+Sheet1!$AA$19*' Rolling-window portfolio analy'!D460+Sheet1!$AB$19*' Rolling-window portfolio analy'!E460+Sheet1!$AC$19*' Rolling-window portfolio analy'!F460)</f>
        <v>-9.6430772860614487E-3</v>
      </c>
      <c r="I460" s="6">
        <f t="shared" si="12"/>
        <v>1.7582691086461697</v>
      </c>
      <c r="J460" s="86">
        <f t="shared" si="13"/>
        <v>2.6251835748115964E-3</v>
      </c>
    </row>
    <row r="461" spans="1:10" x14ac:dyDescent="0.3">
      <c r="A461" s="2">
        <v>45363</v>
      </c>
      <c r="B461" s="3">
        <v>2.7747286430700939E-3</v>
      </c>
      <c r="C461" s="3">
        <v>6.9140542367687963E-2</v>
      </c>
      <c r="D461" s="3">
        <v>-1.2946442944208429E-3</v>
      </c>
      <c r="E461" s="3">
        <v>6.0519375668257472E-3</v>
      </c>
      <c r="F461" s="3">
        <v>-5.800174446878084E-3</v>
      </c>
      <c r="G461" s="3">
        <v>1.1139497364012345E-2</v>
      </c>
      <c r="H461" s="3">
        <f>(Sheet1!$Y$19*' Rolling-window portfolio analy'!B461+Sheet1!$Z$19*' Rolling-window portfolio analy'!C461+Sheet1!$AA$19*' Rolling-window portfolio analy'!D461+Sheet1!$AB$19*' Rolling-window portfolio analy'!E461+Sheet1!$AC$19*' Rolling-window portfolio analy'!F461)</f>
        <v>4.6524141301630385E-2</v>
      </c>
      <c r="I461" s="6">
        <f t="shared" si="12"/>
        <v>1.8411150647976675</v>
      </c>
      <c r="J461" s="86">
        <f t="shared" si="13"/>
        <v>3.1773984855234297E-3</v>
      </c>
    </row>
    <row r="462" spans="1:10" x14ac:dyDescent="0.3">
      <c r="A462" s="2">
        <v>45362</v>
      </c>
      <c r="B462" s="3">
        <v>1.1762101364637088E-2</v>
      </c>
      <c r="C462" s="3">
        <v>-2.0312296742016515E-2</v>
      </c>
      <c r="D462" s="3">
        <v>1.3763633774154488E-2</v>
      </c>
      <c r="E462" s="3">
        <v>2.2618088587772364E-2</v>
      </c>
      <c r="F462" s="3">
        <v>-3.9354635602353036E-3</v>
      </c>
      <c r="G462" s="3">
        <v>-1.1228682551799477E-3</v>
      </c>
      <c r="H462" s="3">
        <f>(Sheet1!$Y$19*' Rolling-window portfolio analy'!B462+Sheet1!$Z$19*' Rolling-window portfolio analy'!C462+Sheet1!$AA$19*' Rolling-window portfolio analy'!D462+Sheet1!$AB$19*' Rolling-window portfolio analy'!E462+Sheet1!$AC$19*' Rolling-window portfolio analy'!F462)</f>
        <v>-8.201741240903249E-3</v>
      </c>
      <c r="I462" s="6">
        <f t="shared" si="12"/>
        <v>1.8046627771414405</v>
      </c>
      <c r="J462" s="86">
        <f t="shared" si="13"/>
        <v>2.8637618588374784E-3</v>
      </c>
    </row>
    <row r="463" spans="1:10" x14ac:dyDescent="0.3">
      <c r="A463" s="2">
        <v>45359</v>
      </c>
      <c r="B463" s="3">
        <v>1.0184646360068749E-2</v>
      </c>
      <c r="C463" s="3">
        <v>-5.7063203854253439E-2</v>
      </c>
      <c r="D463" s="3">
        <v>-1.8701638308979297E-2</v>
      </c>
      <c r="E463" s="3">
        <v>-7.4882329397237754E-3</v>
      </c>
      <c r="F463" s="3">
        <v>7.0950238506037148E-3</v>
      </c>
      <c r="G463" s="3">
        <v>-6.5499380656454595E-3</v>
      </c>
      <c r="H463" s="3">
        <f>(Sheet1!$Y$19*' Rolling-window portfolio analy'!B463+Sheet1!$Z$19*' Rolling-window portfolio analy'!C463+Sheet1!$AA$19*' Rolling-window portfolio analy'!D463+Sheet1!$AB$19*' Rolling-window portfolio analy'!E463+Sheet1!$AC$19*' Rolling-window portfolio analy'!F463)</f>
        <v>-3.5567540131472182E-2</v>
      </c>
      <c r="I463" s="6">
        <f t="shared" si="12"/>
        <v>1.8684986567301962</v>
      </c>
      <c r="J463" s="86">
        <f t="shared" si="13"/>
        <v>2.3811291246705656E-3</v>
      </c>
    </row>
    <row r="464" spans="1:10" x14ac:dyDescent="0.3">
      <c r="A464" s="2">
        <v>45358</v>
      </c>
      <c r="B464" s="3">
        <v>-7.0980719885401129E-4</v>
      </c>
      <c r="C464" s="3">
        <v>4.3784906283066166E-2</v>
      </c>
      <c r="D464" s="3">
        <v>1.1881104877332176E-2</v>
      </c>
      <c r="E464" s="3">
        <v>8.7962775997392599E-3</v>
      </c>
      <c r="F464" s="3">
        <v>-4.4731031036916681E-3</v>
      </c>
      <c r="G464" s="3">
        <v>1.0251382881397443E-2</v>
      </c>
      <c r="H464" s="3">
        <f>(Sheet1!$Y$19*' Rolling-window portfolio analy'!B464+Sheet1!$Z$19*' Rolling-window portfolio analy'!C464+Sheet1!$AA$19*' Rolling-window portfolio analy'!D464+Sheet1!$AB$19*' Rolling-window portfolio analy'!E464+Sheet1!$AC$19*' Rolling-window portfolio analy'!F464)</f>
        <v>2.9342935097088761E-2</v>
      </c>
      <c r="I464" s="6">
        <f t="shared" si="12"/>
        <v>1.8897702361584434</v>
      </c>
      <c r="J464" s="86">
        <f t="shared" si="13"/>
        <v>2.0817132988847063E-3</v>
      </c>
    </row>
    <row r="465" spans="1:10" x14ac:dyDescent="0.3">
      <c r="A465" s="2">
        <v>45357</v>
      </c>
      <c r="B465" s="3">
        <v>-5.8955482635053178E-3</v>
      </c>
      <c r="C465" s="3">
        <v>3.1377817541224144E-2</v>
      </c>
      <c r="D465" s="3">
        <v>-2.3512054881722994E-2</v>
      </c>
      <c r="E465" s="3">
        <v>1.2843911127349851E-2</v>
      </c>
      <c r="F465" s="3">
        <v>-4.1917797820320664E-3</v>
      </c>
      <c r="G465" s="3">
        <v>5.1279595372516517E-3</v>
      </c>
      <c r="H465" s="3">
        <f>(Sheet1!$Y$19*' Rolling-window portfolio analy'!B465+Sheet1!$Z$19*' Rolling-window portfolio analy'!C465+Sheet1!$AA$19*' Rolling-window portfolio analy'!D465+Sheet1!$AB$19*' Rolling-window portfolio analy'!E465+Sheet1!$AC$19*' Rolling-window portfolio analy'!F465)</f>
        <v>2.0250888706086413E-2</v>
      </c>
      <c r="I465" s="6">
        <f t="shared" si="12"/>
        <v>1.9499019867416076</v>
      </c>
      <c r="J465" s="86">
        <f t="shared" si="13"/>
        <v>2.5063894419923675E-3</v>
      </c>
    </row>
    <row r="466" spans="1:10" x14ac:dyDescent="0.3">
      <c r="A466" s="2">
        <v>45356</v>
      </c>
      <c r="B466" s="3">
        <v>-2.8853168906373343E-2</v>
      </c>
      <c r="C466" s="3">
        <v>8.411264543893229E-3</v>
      </c>
      <c r="D466" s="3">
        <v>-4.0126832069995455E-2</v>
      </c>
      <c r="E466" s="3">
        <v>2.4833490925588349E-2</v>
      </c>
      <c r="F466" s="3">
        <v>-3.3929303070090637E-3</v>
      </c>
      <c r="G466" s="3">
        <v>-1.0245348981574391E-2</v>
      </c>
      <c r="H466" s="3">
        <f>(Sheet1!$Y$19*' Rolling-window portfolio analy'!B466+Sheet1!$Z$19*' Rolling-window portfolio analy'!C466+Sheet1!$AA$19*' Rolling-window portfolio analy'!D466+Sheet1!$AB$19*' Rolling-window portfolio analy'!E466+Sheet1!$AC$19*' Rolling-window portfolio analy'!F466)</f>
        <v>6.1404310339703344E-4</v>
      </c>
      <c r="I466" s="6">
        <f t="shared" si="12"/>
        <v>1.8572100409815189</v>
      </c>
      <c r="J466" s="86">
        <f t="shared" si="13"/>
        <v>3.0496347389475636E-3</v>
      </c>
    </row>
    <row r="467" spans="1:10" x14ac:dyDescent="0.3">
      <c r="A467" s="2">
        <v>45355</v>
      </c>
      <c r="B467" s="3">
        <v>-2.5708936509254418E-2</v>
      </c>
      <c r="C467" s="3">
        <v>3.5342742445659818E-2</v>
      </c>
      <c r="D467" s="3">
        <v>-7.4244639149614405E-2</v>
      </c>
      <c r="E467" s="3">
        <v>-1.7848596403637312E-2</v>
      </c>
      <c r="F467" s="3">
        <v>3.9159428712326775E-3</v>
      </c>
      <c r="G467" s="3">
        <v>-1.1939974324694175E-3</v>
      </c>
      <c r="H467" s="3">
        <f>(Sheet1!$Y$19*' Rolling-window portfolio analy'!B467+Sheet1!$Z$19*' Rolling-window portfolio analy'!C467+Sheet1!$AA$19*' Rolling-window portfolio analy'!D467+Sheet1!$AB$19*' Rolling-window portfolio analy'!E467+Sheet1!$AC$19*' Rolling-window portfolio analy'!F467)</f>
        <v>1.4915728375391121E-2</v>
      </c>
      <c r="I467" s="6">
        <f t="shared" si="12"/>
        <v>1.8895520152666436</v>
      </c>
      <c r="J467" s="86">
        <f t="shared" si="13"/>
        <v>3.0234211283558295E-3</v>
      </c>
    </row>
    <row r="468" spans="1:10" x14ac:dyDescent="0.3">
      <c r="A468" s="2">
        <v>45352</v>
      </c>
      <c r="B468" s="3">
        <v>-6.0486852378135621E-3</v>
      </c>
      <c r="C468" s="3">
        <v>3.9288775751451489E-2</v>
      </c>
      <c r="D468" s="3">
        <v>3.7575442213581794E-3</v>
      </c>
      <c r="E468" s="3">
        <v>1.2426692236900476E-2</v>
      </c>
      <c r="F468" s="3">
        <v>7.614583201453317E-3</v>
      </c>
      <c r="G468" s="3">
        <v>7.9759250577916968E-3</v>
      </c>
      <c r="H468" s="3">
        <f>(Sheet1!$Y$19*' Rolling-window portfolio analy'!B468+Sheet1!$Z$19*' Rolling-window portfolio analy'!C468+Sheet1!$AA$19*' Rolling-window portfolio analy'!D468+Sheet1!$AB$19*' Rolling-window portfolio analy'!E468+Sheet1!$AC$19*' Rolling-window portfolio analy'!F468)</f>
        <v>2.5401539470585072E-2</v>
      </c>
      <c r="I468" s="6">
        <f t="shared" si="12"/>
        <v>1.9135303438260907</v>
      </c>
      <c r="J468" s="86">
        <f t="shared" si="13"/>
        <v>2.4534982124647751E-3</v>
      </c>
    </row>
    <row r="469" spans="1:10" x14ac:dyDescent="0.3">
      <c r="A469" s="2">
        <v>45351</v>
      </c>
      <c r="B469" s="3">
        <v>-3.6999241479239351E-3</v>
      </c>
      <c r="C469" s="3">
        <v>1.8498964729783792E-2</v>
      </c>
      <c r="D469" s="3">
        <v>-7.9223612779020906E-4</v>
      </c>
      <c r="E469" s="3">
        <v>3.7243990909824939E-3</v>
      </c>
      <c r="F469" s="3">
        <v>6.8765147987057806E-3</v>
      </c>
      <c r="G469" s="3">
        <v>5.2154203933401618E-3</v>
      </c>
      <c r="H469" s="3">
        <f>(Sheet1!$Y$19*' Rolling-window portfolio analy'!B469+Sheet1!$Z$19*' Rolling-window portfolio analy'!C469+Sheet1!$AA$19*' Rolling-window portfolio analy'!D469+Sheet1!$AB$19*' Rolling-window portfolio analy'!E469+Sheet1!$AC$19*' Rolling-window portfolio analy'!F469)</f>
        <v>1.1541973432454422E-2</v>
      </c>
      <c r="I469" s="6">
        <f t="shared" si="12"/>
        <v>1.8979133714708398</v>
      </c>
      <c r="J469" s="86">
        <f t="shared" si="13"/>
        <v>2.335679123022333E-3</v>
      </c>
    </row>
    <row r="470" spans="1:10" x14ac:dyDescent="0.3">
      <c r="A470" s="2">
        <v>45350</v>
      </c>
      <c r="B470" s="3">
        <v>-6.6474630171523214E-3</v>
      </c>
      <c r="C470" s="3">
        <v>-1.3302831119836338E-2</v>
      </c>
      <c r="D470" s="3">
        <v>1.1499243122771534E-2</v>
      </c>
      <c r="E470" s="3">
        <v>-8.1081525284224746E-3</v>
      </c>
      <c r="F470" s="3">
        <v>-7.4035240335648279E-3</v>
      </c>
      <c r="G470" s="3">
        <v>-1.659450476103029E-3</v>
      </c>
      <c r="H470" s="3">
        <f>(Sheet1!$Y$19*' Rolling-window portfolio analy'!B470+Sheet1!$Z$19*' Rolling-window portfolio analy'!C470+Sheet1!$AA$19*' Rolling-window portfolio analy'!D470+Sheet1!$AB$19*' Rolling-window portfolio analy'!E470+Sheet1!$AC$19*' Rolling-window portfolio analy'!F470)</f>
        <v>-1.1110003224077975E-2</v>
      </c>
      <c r="I470" s="6">
        <f t="shared" si="12"/>
        <v>2.08560898859032</v>
      </c>
      <c r="J470" s="86">
        <f t="shared" si="13"/>
        <v>9.917217726392953E-4</v>
      </c>
    </row>
    <row r="471" spans="1:10" x14ac:dyDescent="0.3">
      <c r="A471" s="2">
        <v>45349</v>
      </c>
      <c r="B471" s="3">
        <v>8.0816295159372147E-3</v>
      </c>
      <c r="C471" s="3">
        <v>-4.9432891079683808E-3</v>
      </c>
      <c r="D471" s="3">
        <v>1.6535969493423699E-3</v>
      </c>
      <c r="E471" s="3">
        <v>-4.0295554860016883E-3</v>
      </c>
      <c r="F471" s="3">
        <v>-5.7788445558743804E-3</v>
      </c>
      <c r="G471" s="3">
        <v>1.7048185442892359E-3</v>
      </c>
      <c r="H471" s="3">
        <f>(Sheet1!$Y$19*' Rolling-window portfolio analy'!B471+Sheet1!$Z$19*' Rolling-window portfolio analy'!C471+Sheet1!$AA$19*' Rolling-window portfolio analy'!D471+Sheet1!$AB$19*' Rolling-window portfolio analy'!E471+Sheet1!$AC$19*' Rolling-window portfolio analy'!F471)</f>
        <v>-1.6055768611738406E-3</v>
      </c>
      <c r="I471" s="6">
        <f t="shared" si="12"/>
        <v>2.0802962634248283</v>
      </c>
      <c r="J471" s="86">
        <f t="shared" si="13"/>
        <v>9.4299831428449449E-4</v>
      </c>
    </row>
    <row r="472" spans="1:10" x14ac:dyDescent="0.3">
      <c r="A472" s="2">
        <v>45348</v>
      </c>
      <c r="B472" s="3">
        <v>-7.4791373711888022E-3</v>
      </c>
      <c r="C472" s="3">
        <v>3.4196727644682941E-3</v>
      </c>
      <c r="D472" s="3">
        <v>3.7973747708259453E-2</v>
      </c>
      <c r="E472" s="3">
        <v>-1.6742009602863912E-3</v>
      </c>
      <c r="F472" s="3">
        <v>-3.921061094862152E-3</v>
      </c>
      <c r="G472" s="3">
        <v>-3.7939352461026604E-3</v>
      </c>
      <c r="H472" s="3">
        <f>(Sheet1!$Y$19*' Rolling-window portfolio analy'!B472+Sheet1!$Z$19*' Rolling-window portfolio analy'!C472+Sheet1!$AA$19*' Rolling-window portfolio analy'!D472+Sheet1!$AB$19*' Rolling-window portfolio analy'!E472+Sheet1!$AC$19*' Rolling-window portfolio analy'!F472)</f>
        <v>2.8878899800749208E-4</v>
      </c>
      <c r="I472" s="6">
        <f t="shared" si="12"/>
        <v>2.0689841454395457</v>
      </c>
      <c r="J472" s="86">
        <f t="shared" si="13"/>
        <v>1.0761640532699795E-3</v>
      </c>
    </row>
    <row r="473" spans="1:10" x14ac:dyDescent="0.3">
      <c r="A473" s="2">
        <v>45345</v>
      </c>
      <c r="B473" s="3">
        <v>-1.0084852023097546E-2</v>
      </c>
      <c r="C473" s="3">
        <v>3.5587226169939328E-3</v>
      </c>
      <c r="D473" s="3">
        <v>-2.7943674458097863E-2</v>
      </c>
      <c r="E473" s="3">
        <v>2.3355267021610508E-2</v>
      </c>
      <c r="F473" s="3">
        <v>1.1545654361954278E-2</v>
      </c>
      <c r="G473" s="3">
        <v>3.4788317372660206E-4</v>
      </c>
      <c r="H473" s="3">
        <f>(Sheet1!$Y$19*' Rolling-window portfolio analy'!B473+Sheet1!$Z$19*' Rolling-window portfolio analy'!C473+Sheet1!$AA$19*' Rolling-window portfolio analy'!D473+Sheet1!$AB$19*' Rolling-window portfolio analy'!E473+Sheet1!$AC$19*' Rolling-window portfolio analy'!F473)</f>
        <v>1.9865843744995156E-3</v>
      </c>
      <c r="I473" s="6">
        <f t="shared" si="12"/>
        <v>2.0678897736424449</v>
      </c>
      <c r="J473" s="86">
        <f t="shared" si="13"/>
        <v>8.5300883223251309E-4</v>
      </c>
    </row>
    <row r="474" spans="1:10" x14ac:dyDescent="0.3">
      <c r="A474" s="2">
        <v>45344</v>
      </c>
      <c r="B474" s="3">
        <v>1.1181223144870737E-2</v>
      </c>
      <c r="C474" s="3">
        <v>0.15192499451052965</v>
      </c>
      <c r="D474" s="3">
        <v>1.3463409035767935E-2</v>
      </c>
      <c r="E474" s="3">
        <v>-4.7830634405996286E-3</v>
      </c>
      <c r="F474" s="3">
        <v>2.1070255417119894E-2</v>
      </c>
      <c r="G474" s="3">
        <v>2.0902891694828028E-2</v>
      </c>
      <c r="H474" s="3">
        <f>(Sheet1!$Y$19*' Rolling-window portfolio analy'!B474+Sheet1!$Z$19*' Rolling-window portfolio analy'!C474+Sheet1!$AA$19*' Rolling-window portfolio analy'!D474+Sheet1!$AB$19*' Rolling-window portfolio analy'!E474+Sheet1!$AC$19*' Rolling-window portfolio analy'!F474)</f>
        <v>0.10180790049072198</v>
      </c>
      <c r="I474" s="6">
        <f t="shared" si="12"/>
        <v>2.4157661075079195</v>
      </c>
      <c r="J474" s="86">
        <f t="shared" si="13"/>
        <v>1.767018570441876E-3</v>
      </c>
    </row>
    <row r="475" spans="1:10" x14ac:dyDescent="0.3">
      <c r="A475" s="2">
        <v>45343</v>
      </c>
      <c r="B475" s="3">
        <v>4.1772073491637982E-3</v>
      </c>
      <c r="C475" s="3">
        <v>-2.8924014561018823E-2</v>
      </c>
      <c r="D475" s="3">
        <v>5.1990954370264514E-3</v>
      </c>
      <c r="E475" s="3">
        <v>9.9332894169153821E-3</v>
      </c>
      <c r="F475" s="3">
        <v>6.4900173717123135E-3</v>
      </c>
      <c r="G475" s="3">
        <v>1.2633935945864823E-3</v>
      </c>
      <c r="H475" s="3">
        <f>(Sheet1!$Y$19*' Rolling-window portfolio analy'!B475+Sheet1!$Z$19*' Rolling-window portfolio analy'!C475+Sheet1!$AA$19*' Rolling-window portfolio analy'!D475+Sheet1!$AB$19*' Rolling-window portfolio analy'!E475+Sheet1!$AC$19*' Rolling-window portfolio analy'!F475)</f>
        <v>-1.6944395796814449E-2</v>
      </c>
      <c r="I475" s="6">
        <f t="shared" si="12"/>
        <v>2.4165220756355064</v>
      </c>
      <c r="J475" s="86">
        <f t="shared" si="13"/>
        <v>1.3732394783508716E-3</v>
      </c>
    </row>
    <row r="476" spans="1:10" x14ac:dyDescent="0.3">
      <c r="A476" s="2">
        <v>45342</v>
      </c>
      <c r="B476" s="3">
        <v>-4.1223572271086705E-3</v>
      </c>
      <c r="C476" s="3">
        <v>-4.4495584191802544E-2</v>
      </c>
      <c r="D476" s="3">
        <v>-3.1447055488045217E-2</v>
      </c>
      <c r="E476" s="3">
        <v>-3.4364294985810982E-3</v>
      </c>
      <c r="F476" s="3">
        <v>3.8053864893874217E-3</v>
      </c>
      <c r="G476" s="3">
        <v>-6.0234144772223523E-3</v>
      </c>
      <c r="H476" s="3">
        <f>(Sheet1!$Y$19*' Rolling-window portfolio analy'!B476+Sheet1!$Z$19*' Rolling-window portfolio analy'!C476+Sheet1!$AA$19*' Rolling-window portfolio analy'!D476+Sheet1!$AB$19*' Rolling-window portfolio analy'!E476+Sheet1!$AC$19*' Rolling-window portfolio analy'!F476)</f>
        <v>-3.0536897022523081E-2</v>
      </c>
      <c r="I476" s="6">
        <f t="shared" si="12"/>
        <v>2.4606413655060067</v>
      </c>
      <c r="J476" s="86">
        <f t="shared" si="13"/>
        <v>1.1006045830396871E-3</v>
      </c>
    </row>
    <row r="477" spans="1:10" x14ac:dyDescent="0.3">
      <c r="A477" s="2">
        <v>45338</v>
      </c>
      <c r="B477" s="3">
        <v>-8.4660636202350554E-3</v>
      </c>
      <c r="C477" s="3">
        <v>-6.883734009004303E-4</v>
      </c>
      <c r="D477" s="3">
        <v>-2.4975037956886091E-3</v>
      </c>
      <c r="E477" s="3">
        <v>-1.7137964777347416E-3</v>
      </c>
      <c r="F477" s="3">
        <v>-7.5963468919347634E-3</v>
      </c>
      <c r="G477" s="3">
        <v>-4.8150123419915631E-3</v>
      </c>
      <c r="H477" s="3">
        <f>(Sheet1!$Y$19*' Rolling-window portfolio analy'!B477+Sheet1!$Z$19*' Rolling-window portfolio analy'!C477+Sheet1!$AA$19*' Rolling-window portfolio analy'!D477+Sheet1!$AB$19*' Rolling-window portfolio analy'!E477+Sheet1!$AC$19*' Rolling-window portfolio analy'!F477)</f>
        <v>-2.7231029243185976E-3</v>
      </c>
      <c r="I477" s="6">
        <f t="shared" si="12"/>
        <v>2.4514774772232859</v>
      </c>
      <c r="J477" s="86">
        <f t="shared" si="13"/>
        <v>1.3024128662287187E-3</v>
      </c>
    </row>
    <row r="478" spans="1:10" x14ac:dyDescent="0.3">
      <c r="A478" s="2">
        <v>45337</v>
      </c>
      <c r="B478" s="3">
        <v>-1.5760444554656545E-3</v>
      </c>
      <c r="C478" s="3">
        <v>-1.692180116110038E-2</v>
      </c>
      <c r="D478" s="3">
        <v>6.035339394751154E-2</v>
      </c>
      <c r="E478" s="3">
        <v>1.2058716320127394E-2</v>
      </c>
      <c r="F478" s="3">
        <v>0</v>
      </c>
      <c r="G478" s="3">
        <v>5.8043999917945753E-3</v>
      </c>
      <c r="H478" s="3">
        <f>(Sheet1!$Y$19*' Rolling-window portfolio analy'!B478+Sheet1!$Z$19*' Rolling-window portfolio analy'!C478+Sheet1!$AA$19*' Rolling-window portfolio analy'!D478+Sheet1!$AB$19*' Rolling-window portfolio analy'!E478+Sheet1!$AC$19*' Rolling-window portfolio analy'!F478)</f>
        <v>-1.0216313876377146E-2</v>
      </c>
      <c r="I478" s="6">
        <f t="shared" si="12"/>
        <v>2.4142532623976467</v>
      </c>
      <c r="J478" s="86">
        <f t="shared" si="13"/>
        <v>7.6664936359548976E-4</v>
      </c>
    </row>
    <row r="479" spans="1:10" x14ac:dyDescent="0.3">
      <c r="A479" s="2">
        <v>45336</v>
      </c>
      <c r="B479" s="3">
        <v>-4.8213750321093058E-3</v>
      </c>
      <c r="C479" s="3">
        <v>2.4242781438575021E-2</v>
      </c>
      <c r="D479" s="3">
        <v>2.5166997786789217E-2</v>
      </c>
      <c r="E479" s="3">
        <v>-5.5306051792041256E-3</v>
      </c>
      <c r="F479" s="3">
        <v>1.0596485512079545E-2</v>
      </c>
      <c r="G479" s="3">
        <v>9.5341290968955009E-3</v>
      </c>
      <c r="H479" s="3">
        <f>(Sheet1!$Y$19*' Rolling-window portfolio analy'!B479+Sheet1!$Z$19*' Rolling-window portfolio analy'!C479+Sheet1!$AA$19*' Rolling-window portfolio analy'!D479+Sheet1!$AB$19*' Rolling-window portfolio analy'!E479+Sheet1!$AC$19*' Rolling-window portfolio analy'!F479)</f>
        <v>1.4192381729726995E-2</v>
      </c>
      <c r="I479" s="6">
        <f t="shared" si="12"/>
        <v>2.3899239359745019</v>
      </c>
      <c r="J479" s="86">
        <f t="shared" si="13"/>
        <v>6.2100548894648724E-4</v>
      </c>
    </row>
    <row r="480" spans="1:10" x14ac:dyDescent="0.3">
      <c r="A480" s="2">
        <v>45335</v>
      </c>
      <c r="B480" s="3">
        <v>-1.1338416427254269E-2</v>
      </c>
      <c r="C480" s="3">
        <v>-1.6622804769603494E-3</v>
      </c>
      <c r="D480" s="3">
        <v>-2.2088765868823877E-2</v>
      </c>
      <c r="E480" s="3">
        <v>-1.6749665212461452E-2</v>
      </c>
      <c r="F480" s="3">
        <v>-7.0767851139082651E-3</v>
      </c>
      <c r="G480" s="3">
        <v>-1.3768624761212093E-2</v>
      </c>
      <c r="H480" s="3">
        <f>(Sheet1!$Y$19*' Rolling-window portfolio analy'!B480+Sheet1!$Z$19*' Rolling-window portfolio analy'!C480+Sheet1!$AA$19*' Rolling-window portfolio analy'!D480+Sheet1!$AB$19*' Rolling-window portfolio analy'!E480+Sheet1!$AC$19*' Rolling-window portfolio analy'!F480)</f>
        <v>-5.5368143351099E-3</v>
      </c>
      <c r="I480" s="6">
        <f t="shared" si="12"/>
        <v>2.3061414821350454</v>
      </c>
      <c r="J480" s="86">
        <f t="shared" si="13"/>
        <v>1.4297072634620531E-3</v>
      </c>
    </row>
    <row r="481" spans="1:10" x14ac:dyDescent="0.3">
      <c r="A481" s="2">
        <v>45334</v>
      </c>
      <c r="B481" s="3">
        <v>-9.0426148080278088E-3</v>
      </c>
      <c r="C481" s="3">
        <v>1.662280476960308E-3</v>
      </c>
      <c r="D481" s="3">
        <v>-2.8505990934415217E-2</v>
      </c>
      <c r="E481" s="3">
        <v>1.5027605203637438E-2</v>
      </c>
      <c r="F481" s="3">
        <v>-5.4229936253114919E-4</v>
      </c>
      <c r="G481" s="3">
        <v>-9.4940022755554091E-4</v>
      </c>
      <c r="H481" s="3">
        <f>(Sheet1!$Y$19*' Rolling-window portfolio analy'!B481+Sheet1!$Z$19*' Rolling-window portfolio analy'!C481+Sheet1!$AA$19*' Rolling-window portfolio analy'!D481+Sheet1!$AB$19*' Rolling-window portfolio analy'!E481+Sheet1!$AC$19*' Rolling-window portfolio analy'!F481)</f>
        <v>2.1328977889152156E-4</v>
      </c>
      <c r="I481" s="6">
        <f t="shared" si="12"/>
        <v>2.3052747642361675</v>
      </c>
      <c r="J481" s="86">
        <f t="shared" si="13"/>
        <v>1.4913910581590814E-3</v>
      </c>
    </row>
    <row r="482" spans="1:10" x14ac:dyDescent="0.3">
      <c r="A482" s="2">
        <v>45331</v>
      </c>
      <c r="B482" s="3">
        <v>2.8104056464991977E-3</v>
      </c>
      <c r="C482" s="3">
        <v>3.51309316155929E-2</v>
      </c>
      <c r="D482" s="3">
        <v>2.0933607058066801E-2</v>
      </c>
      <c r="E482" s="3">
        <v>-8.9072188763139135E-3</v>
      </c>
      <c r="F482" s="3">
        <v>-4.867505554056583E-3</v>
      </c>
      <c r="G482" s="3">
        <v>5.7259755908601927E-3</v>
      </c>
      <c r="H482" s="3">
        <f>(Sheet1!$Y$19*' Rolling-window portfolio analy'!B482+Sheet1!$Z$19*' Rolling-window portfolio analy'!C482+Sheet1!$AA$19*' Rolling-window portfolio analy'!D482+Sheet1!$AB$19*' Rolling-window portfolio analy'!E482+Sheet1!$AC$19*' Rolling-window portfolio analy'!F482)</f>
        <v>2.2890137615095969E-2</v>
      </c>
      <c r="I482" s="6">
        <f t="shared" si="12"/>
        <v>2.3203618571834714</v>
      </c>
      <c r="J482" s="86">
        <f t="shared" si="13"/>
        <v>1.8663316724657493E-3</v>
      </c>
    </row>
    <row r="483" spans="1:10" x14ac:dyDescent="0.3">
      <c r="A483" s="2">
        <v>45330</v>
      </c>
      <c r="B483" s="3">
        <v>-5.7713341566836846E-3</v>
      </c>
      <c r="C483" s="3">
        <v>-6.5836791405560454E-3</v>
      </c>
      <c r="D483" s="3">
        <v>1.0500176018595143E-2</v>
      </c>
      <c r="E483" s="3">
        <v>6.8446536899654988E-3</v>
      </c>
      <c r="F483" s="3">
        <v>2.1604113182782272E-3</v>
      </c>
      <c r="G483" s="3">
        <v>5.7040100736248747E-4</v>
      </c>
      <c r="H483" s="3">
        <f>(Sheet1!$Y$19*' Rolling-window portfolio analy'!B483+Sheet1!$Z$19*' Rolling-window portfolio analy'!C483+Sheet1!$AA$19*' Rolling-window portfolio analy'!D483+Sheet1!$AB$19*' Rolling-window portfolio analy'!E483+Sheet1!$AC$19*' Rolling-window portfolio analy'!F483)</f>
        <v>-5.076856750927697E-3</v>
      </c>
      <c r="I483" s="6">
        <f t="shared" si="12"/>
        <v>2.3292472960281594</v>
      </c>
      <c r="J483" s="86">
        <f t="shared" si="13"/>
        <v>1.783779888844633E-3</v>
      </c>
    </row>
    <row r="484" spans="1:10" x14ac:dyDescent="0.3">
      <c r="A484" s="2">
        <v>45329</v>
      </c>
      <c r="B484" s="3">
        <v>5.8091945337303437E-4</v>
      </c>
      <c r="C484" s="3">
        <v>2.718501705004461E-2</v>
      </c>
      <c r="D484" s="3">
        <v>1.3309201501340776E-2</v>
      </c>
      <c r="E484" s="3">
        <v>-9.2292571023407377E-3</v>
      </c>
      <c r="F484" s="3">
        <v>-8.1070130098883449E-4</v>
      </c>
      <c r="G484" s="3">
        <v>8.2076669213310503E-3</v>
      </c>
      <c r="H484" s="3">
        <f>(Sheet1!$Y$19*' Rolling-window portfolio analy'!B484+Sheet1!$Z$19*' Rolling-window portfolio analy'!C484+Sheet1!$AA$19*' Rolling-window portfolio analy'!D484+Sheet1!$AB$19*' Rolling-window portfolio analy'!E484+Sheet1!$AC$19*' Rolling-window portfolio analy'!F484)</f>
        <v>1.7089589176163975E-2</v>
      </c>
      <c r="I484" s="6">
        <f t="shared" si="12"/>
        <v>2.299262967637282</v>
      </c>
      <c r="J484" s="86">
        <f t="shared" si="13"/>
        <v>1.628876225557315E-3</v>
      </c>
    </row>
    <row r="485" spans="1:10" x14ac:dyDescent="0.3">
      <c r="A485" s="2">
        <v>45328</v>
      </c>
      <c r="B485" s="3">
        <v>8.5946733101117737E-3</v>
      </c>
      <c r="C485" s="3">
        <v>-1.6139935963899416E-2</v>
      </c>
      <c r="D485" s="3">
        <v>2.2067751532157384E-2</v>
      </c>
      <c r="E485" s="3">
        <v>2.0279093288925829E-2</v>
      </c>
      <c r="F485" s="3">
        <v>7.8644473137755647E-3</v>
      </c>
      <c r="G485" s="3">
        <v>2.3077617284261594E-3</v>
      </c>
      <c r="H485" s="3">
        <f>(Sheet1!$Y$19*' Rolling-window portfolio analy'!B485+Sheet1!$Z$19*' Rolling-window portfolio analy'!C485+Sheet1!$AA$19*' Rolling-window portfolio analy'!D485+Sheet1!$AB$19*' Rolling-window portfolio analy'!E485+Sheet1!$AC$19*' Rolling-window portfolio analy'!F485)</f>
        <v>-6.4648367493449878E-3</v>
      </c>
      <c r="I485" s="6">
        <f t="shared" si="12"/>
        <v>2.2783641558998853</v>
      </c>
      <c r="J485" s="86">
        <f t="shared" si="13"/>
        <v>1.3312564607973444E-3</v>
      </c>
    </row>
    <row r="486" spans="1:10" x14ac:dyDescent="0.3">
      <c r="A486" s="2">
        <v>45327</v>
      </c>
      <c r="B486" s="3">
        <v>9.7984881619042011E-3</v>
      </c>
      <c r="C486" s="3">
        <v>4.6801662238963204E-2</v>
      </c>
      <c r="D486" s="3">
        <v>-3.7134656753766884E-2</v>
      </c>
      <c r="E486" s="3">
        <v>-6.5755557916638572E-3</v>
      </c>
      <c r="F486" s="3">
        <v>5.4600190243846731E-3</v>
      </c>
      <c r="G486" s="3">
        <v>-3.191464135615035E-3</v>
      </c>
      <c r="H486" s="3">
        <f>(Sheet1!$Y$19*' Rolling-window portfolio analy'!B486+Sheet1!$Z$19*' Rolling-window portfolio analy'!C486+Sheet1!$AA$19*' Rolling-window portfolio analy'!D486+Sheet1!$AB$19*' Rolling-window portfolio analy'!E486+Sheet1!$AC$19*' Rolling-window portfolio analy'!F486)</f>
        <v>3.2383981437463016E-2</v>
      </c>
      <c r="I486" s="6">
        <f t="shared" si="12"/>
        <v>2.212719205747232</v>
      </c>
      <c r="J486" s="86">
        <f t="shared" si="13"/>
        <v>2.3620979704390083E-3</v>
      </c>
    </row>
    <row r="487" spans="1:10" x14ac:dyDescent="0.3">
      <c r="A487" s="2">
        <v>45324</v>
      </c>
      <c r="B487" s="3">
        <v>-5.4197766215485846E-3</v>
      </c>
      <c r="C487" s="3">
        <v>4.8465247190417046E-2</v>
      </c>
      <c r="D487" s="3">
        <v>-5.0428750338620109E-3</v>
      </c>
      <c r="E487" s="3">
        <v>1.2495823823540501E-2</v>
      </c>
      <c r="F487" s="3">
        <v>6.8672155602552756E-3</v>
      </c>
      <c r="G487" s="3">
        <v>1.0627786351803241E-2</v>
      </c>
      <c r="H487" s="3">
        <f>(Sheet1!$Y$19*' Rolling-window portfolio analy'!B487+Sheet1!$Z$19*' Rolling-window portfolio analy'!C487+Sheet1!$AA$19*' Rolling-window portfolio analy'!D487+Sheet1!$AB$19*' Rolling-window portfolio analy'!E487+Sheet1!$AC$19*' Rolling-window portfolio analy'!F487)</f>
        <v>3.1555847710066642E-2</v>
      </c>
      <c r="I487" s="6">
        <f t="shared" si="12"/>
        <v>2.3166589433527998</v>
      </c>
      <c r="J487" s="86">
        <f t="shared" si="13"/>
        <v>2.1327983134645763E-3</v>
      </c>
    </row>
    <row r="488" spans="1:10" x14ac:dyDescent="0.3">
      <c r="A488" s="2">
        <v>45323</v>
      </c>
      <c r="B488" s="3">
        <v>1.3252362242316237E-2</v>
      </c>
      <c r="C488" s="3">
        <v>2.4085942772619912E-2</v>
      </c>
      <c r="D488" s="3">
        <v>8.3477820931607896E-3</v>
      </c>
      <c r="E488" s="3">
        <v>4.5510318354188995E-3</v>
      </c>
      <c r="F488" s="3">
        <v>1.6115936461342403E-2</v>
      </c>
      <c r="G488" s="3">
        <v>1.2416277903485802E-2</v>
      </c>
      <c r="H488" s="3">
        <f>(Sheet1!$Y$19*' Rolling-window portfolio analy'!B488+Sheet1!$Z$19*' Rolling-window portfolio analy'!C488+Sheet1!$AA$19*' Rolling-window portfolio analy'!D488+Sheet1!$AB$19*' Rolling-window portfolio analy'!E488+Sheet1!$AC$19*' Rolling-window portfolio analy'!F488)</f>
        <v>1.9510179396185837E-2</v>
      </c>
      <c r="I488" s="6">
        <f t="shared" si="12"/>
        <v>2.2784768175071775</v>
      </c>
      <c r="J488" s="86">
        <f t="shared" si="13"/>
        <v>2.0009731472761527E-3</v>
      </c>
    </row>
    <row r="489" spans="1:10" x14ac:dyDescent="0.3">
      <c r="A489" s="2">
        <v>45322</v>
      </c>
      <c r="B489" s="3">
        <v>-1.9547395033436211E-2</v>
      </c>
      <c r="C489" s="3">
        <v>-1.9952391577041501E-2</v>
      </c>
      <c r="D489" s="3">
        <v>-2.2699454366138679E-2</v>
      </c>
      <c r="E489" s="3">
        <v>-2.90476854402308E-2</v>
      </c>
      <c r="F489" s="3">
        <v>-4.1928782600359274E-3</v>
      </c>
      <c r="G489" s="3">
        <v>-1.6236787963987382E-2</v>
      </c>
      <c r="H489" s="3">
        <f>(Sheet1!$Y$19*' Rolling-window portfolio analy'!B489+Sheet1!$Z$19*' Rolling-window portfolio analy'!C489+Sheet1!$AA$19*' Rolling-window portfolio analy'!D489+Sheet1!$AB$19*' Rolling-window portfolio analy'!E489+Sheet1!$AC$19*' Rolling-window portfolio analy'!F489)</f>
        <v>-2.0719444454102214E-2</v>
      </c>
      <c r="I489" s="6">
        <f t="shared" si="12"/>
        <v>2.175106116257242</v>
      </c>
      <c r="J489" s="86">
        <f t="shared" si="13"/>
        <v>2.0660878692038984E-3</v>
      </c>
    </row>
    <row r="490" spans="1:10" x14ac:dyDescent="0.3">
      <c r="A490" s="2">
        <v>45321</v>
      </c>
      <c r="B490" s="3">
        <v>-1.9433426174370286E-2</v>
      </c>
      <c r="C490" s="3">
        <v>4.790810823961913E-3</v>
      </c>
      <c r="D490" s="3">
        <v>3.4508033825278806E-3</v>
      </c>
      <c r="E490" s="3">
        <v>-2.2245608947319737E-2</v>
      </c>
      <c r="F490" s="3">
        <v>7.278867523528105E-3</v>
      </c>
      <c r="G490" s="3">
        <v>-6.0083834993726029E-4</v>
      </c>
      <c r="H490" s="3">
        <f>(Sheet1!$Y$19*' Rolling-window portfolio analy'!B490+Sheet1!$Z$19*' Rolling-window portfolio analy'!C490+Sheet1!$AA$19*' Rolling-window portfolio analy'!D490+Sheet1!$AB$19*' Rolling-window portfolio analy'!E490+Sheet1!$AC$19*' Rolling-window portfolio analy'!F490)</f>
        <v>-3.8004606666191239E-3</v>
      </c>
      <c r="I490" s="6">
        <f t="shared" si="12"/>
        <v>2.2279455605822087</v>
      </c>
      <c r="J490" s="86">
        <f t="shared" si="13"/>
        <v>1.3918095318946931E-3</v>
      </c>
    </row>
    <row r="491" spans="1:10" x14ac:dyDescent="0.3">
      <c r="A491" s="2">
        <v>45320</v>
      </c>
      <c r="B491" s="3">
        <v>-3.5923506028184725E-3</v>
      </c>
      <c r="C491" s="3">
        <v>2.3320894949074873E-2</v>
      </c>
      <c r="D491" s="3">
        <v>4.1055527958612177E-2</v>
      </c>
      <c r="E491" s="3">
        <v>-1.5873349156290122E-2</v>
      </c>
      <c r="F491" s="3">
        <v>5.6354051647294658E-3</v>
      </c>
      <c r="G491" s="3">
        <v>7.5283737614565433E-3</v>
      </c>
      <c r="H491" s="3">
        <f>(Sheet1!$Y$19*' Rolling-window portfolio analy'!B491+Sheet1!$Z$19*' Rolling-window portfolio analy'!C491+Sheet1!$AA$19*' Rolling-window portfolio analy'!D491+Sheet1!$AB$19*' Rolling-window portfolio analy'!E491+Sheet1!$AC$19*' Rolling-window portfolio analy'!F491)</f>
        <v>1.2942207794555523E-2</v>
      </c>
      <c r="I491" s="6">
        <f t="shared" si="12"/>
        <v>2.2156282828991132</v>
      </c>
      <c r="J491" s="86">
        <f t="shared" si="13"/>
        <v>1.6703202518155626E-3</v>
      </c>
    </row>
    <row r="492" spans="1:10" x14ac:dyDescent="0.3">
      <c r="A492" s="2">
        <v>45317</v>
      </c>
      <c r="B492" s="3">
        <v>-9.0535810732438726E-3</v>
      </c>
      <c r="C492" s="3">
        <v>-9.620946612118271E-3</v>
      </c>
      <c r="D492" s="3">
        <v>3.389092562810636E-3</v>
      </c>
      <c r="E492" s="3">
        <v>5.9230183031220712E-3</v>
      </c>
      <c r="F492" s="3">
        <v>1.1081232867958311E-2</v>
      </c>
      <c r="G492" s="3">
        <v>-6.52009756234213E-4</v>
      </c>
      <c r="H492" s="3">
        <f>(Sheet1!$Y$19*' Rolling-window portfolio analy'!B492+Sheet1!$Z$19*' Rolling-window portfolio analy'!C492+Sheet1!$AA$19*' Rolling-window portfolio analy'!D492+Sheet1!$AB$19*' Rolling-window portfolio analy'!E492+Sheet1!$AC$19*' Rolling-window portfolio analy'!F492)</f>
        <v>-7.9817442902129811E-3</v>
      </c>
      <c r="I492" s="6">
        <f t="shared" si="12"/>
        <v>2.2221857567848611</v>
      </c>
      <c r="J492" s="86">
        <f t="shared" si="13"/>
        <v>1.5551828501904367E-3</v>
      </c>
    </row>
    <row r="493" spans="1:10" x14ac:dyDescent="0.3">
      <c r="A493" s="2">
        <v>45316</v>
      </c>
      <c r="B493" s="3">
        <v>-1.6980990521387232E-3</v>
      </c>
      <c r="C493" s="3">
        <v>4.2283361095211049E-3</v>
      </c>
      <c r="D493" s="3">
        <v>-0.12925818962703148</v>
      </c>
      <c r="E493" s="3">
        <v>8.6178856193896182E-3</v>
      </c>
      <c r="F493" s="3">
        <v>1.7582237045238848E-2</v>
      </c>
      <c r="G493" s="3">
        <v>5.2465060919916033E-3</v>
      </c>
      <c r="H493" s="3">
        <f>(Sheet1!$Y$19*' Rolling-window portfolio analy'!B493+Sheet1!$Z$19*' Rolling-window portfolio analy'!C493+Sheet1!$AA$19*' Rolling-window portfolio analy'!D493+Sheet1!$AB$19*' Rolling-window portfolio analy'!E493+Sheet1!$AC$19*' Rolling-window portfolio analy'!F493)</f>
        <v>2.9288324552241281E-3</v>
      </c>
      <c r="I493" s="6">
        <f t="shared" si="12"/>
        <v>2.1871049569636365</v>
      </c>
      <c r="J493" s="86">
        <f t="shared" si="13"/>
        <v>1.2592556284526911E-3</v>
      </c>
    </row>
    <row r="494" spans="1:10" x14ac:dyDescent="0.3">
      <c r="A494" s="2">
        <v>45315</v>
      </c>
      <c r="B494" s="3">
        <v>-3.4900466548141206E-3</v>
      </c>
      <c r="C494" s="3">
        <v>2.4582612121740077E-2</v>
      </c>
      <c r="D494" s="3">
        <v>-6.2834463394608134E-3</v>
      </c>
      <c r="E494" s="3">
        <v>-4.8409646661035567E-2</v>
      </c>
      <c r="F494" s="3">
        <v>-1.4434430754507963E-2</v>
      </c>
      <c r="G494" s="3">
        <v>8.1165916827587409E-4</v>
      </c>
      <c r="H494" s="3">
        <f>(Sheet1!$Y$19*' Rolling-window portfolio analy'!B494+Sheet1!$Z$19*' Rolling-window portfolio analy'!C494+Sheet1!$AA$19*' Rolling-window portfolio analy'!D494+Sheet1!$AB$19*' Rolling-window portfolio analy'!E494+Sheet1!$AC$19*' Rolling-window portfolio analy'!F494)</f>
        <v>1.0621348444818986E-2</v>
      </c>
      <c r="I494" s="6">
        <f t="shared" si="12"/>
        <v>2.0366914530127835</v>
      </c>
      <c r="J494" s="86">
        <f t="shared" si="13"/>
        <v>2.3182850279448624E-3</v>
      </c>
    </row>
    <row r="495" spans="1:10" x14ac:dyDescent="0.3">
      <c r="A495" s="2">
        <v>45314</v>
      </c>
      <c r="B495" s="3">
        <v>6.6312217704013977E-3</v>
      </c>
      <c r="C495" s="3">
        <v>3.6813963933354861E-3</v>
      </c>
      <c r="D495" s="3">
        <v>1.6270281619588474E-3</v>
      </c>
      <c r="E495" s="3">
        <v>1.7597638568246973E-2</v>
      </c>
      <c r="F495" s="3">
        <v>4.0206831878816466E-3</v>
      </c>
      <c r="G495" s="3">
        <v>2.917131506229948E-3</v>
      </c>
      <c r="H495" s="3">
        <f>(Sheet1!$Y$19*' Rolling-window portfolio analy'!B495+Sheet1!$Z$19*' Rolling-window portfolio analy'!C495+Sheet1!$AA$19*' Rolling-window portfolio analy'!D495+Sheet1!$AB$19*' Rolling-window portfolio analy'!E495+Sheet1!$AC$19*' Rolling-window portfolio analy'!F495)</f>
        <v>5.731346029896691E-3</v>
      </c>
      <c r="I495" s="6">
        <f t="shared" si="12"/>
        <v>2.0403970213250968</v>
      </c>
      <c r="J495" s="86">
        <f t="shared" si="13"/>
        <v>2.1726866475871541E-3</v>
      </c>
    </row>
    <row r="496" spans="1:10" x14ac:dyDescent="0.3">
      <c r="A496" s="2">
        <v>45313</v>
      </c>
      <c r="B496" s="3">
        <v>1.2089912468505099E-2</v>
      </c>
      <c r="C496" s="3">
        <v>2.6859173441106977E-3</v>
      </c>
      <c r="D496" s="3">
        <v>-1.6105243707524548E-2</v>
      </c>
      <c r="E496" s="3">
        <v>9.0791803955710629E-3</v>
      </c>
      <c r="F496" s="3">
        <v>5.7720217971224119E-3</v>
      </c>
      <c r="G496" s="3">
        <v>2.1918970535104105E-3</v>
      </c>
      <c r="H496" s="3">
        <f>(Sheet1!$Y$19*' Rolling-window portfolio analy'!B496+Sheet1!$Z$19*' Rolling-window portfolio analy'!C496+Sheet1!$AA$19*' Rolling-window portfolio analy'!D496+Sheet1!$AB$19*' Rolling-window portfolio analy'!E496+Sheet1!$AC$19*' Rolling-window portfolio analy'!F496)</f>
        <v>5.5969161286450351E-3</v>
      </c>
      <c r="I496" s="6">
        <f t="shared" si="12"/>
        <v>2.0028090059227783</v>
      </c>
      <c r="J496" s="86">
        <f t="shared" si="13"/>
        <v>2.4834592707906871E-3</v>
      </c>
    </row>
    <row r="497" spans="1:10" x14ac:dyDescent="0.3">
      <c r="A497" s="2">
        <v>45310</v>
      </c>
      <c r="B497" s="3">
        <v>1.5413651116775463E-2</v>
      </c>
      <c r="C497" s="3">
        <v>4.0828998523042788E-2</v>
      </c>
      <c r="D497" s="3">
        <v>1.4620230396824351E-3</v>
      </c>
      <c r="E497" s="3">
        <v>-5.5221839209164611E-3</v>
      </c>
      <c r="F497" s="3">
        <v>2.8985527540112575E-3</v>
      </c>
      <c r="G497" s="3">
        <v>1.2238283870230153E-2</v>
      </c>
      <c r="H497" s="3">
        <f>(Sheet1!$Y$19*' Rolling-window portfolio analy'!B497+Sheet1!$Z$19*' Rolling-window portfolio analy'!C497+Sheet1!$AA$19*' Rolling-window portfolio analy'!D497+Sheet1!$AB$19*' Rolling-window portfolio analy'!E497+Sheet1!$AC$19*' Rolling-window portfolio analy'!F497)</f>
        <v>3.0040336892098847E-2</v>
      </c>
      <c r="I497" s="6">
        <f t="shared" si="12"/>
        <v>2.0197078621968738</v>
      </c>
      <c r="J497" s="86">
        <f t="shared" si="13"/>
        <v>2.4130326298828601E-3</v>
      </c>
    </row>
    <row r="498" spans="1:10" x14ac:dyDescent="0.3">
      <c r="A498" s="2">
        <v>45309</v>
      </c>
      <c r="B498" s="3">
        <v>3.2051436040834928E-2</v>
      </c>
      <c r="C498" s="3">
        <v>1.8735083158602648E-2</v>
      </c>
      <c r="D498" s="3">
        <v>-1.7172824516817793E-2</v>
      </c>
      <c r="E498" s="3">
        <v>2.5948765776588772E-3</v>
      </c>
      <c r="F498" s="3">
        <v>1.7431730154927568E-3</v>
      </c>
      <c r="G498" s="3">
        <v>8.7667247395320728E-3</v>
      </c>
      <c r="H498" s="3">
        <f>(Sheet1!$Y$19*' Rolling-window portfolio analy'!B498+Sheet1!$Z$19*' Rolling-window portfolio analy'!C498+Sheet1!$AA$19*' Rolling-window portfolio analy'!D498+Sheet1!$AB$19*' Rolling-window portfolio analy'!E498+Sheet1!$AC$19*' Rolling-window portfolio analy'!F498)</f>
        <v>2.0450430634907171E-2</v>
      </c>
      <c r="I498" s="6">
        <f t="shared" si="12"/>
        <v>2.0140741040170367</v>
      </c>
      <c r="J498" s="86">
        <f t="shared" si="13"/>
        <v>2.4547685761189164E-3</v>
      </c>
    </row>
    <row r="499" spans="1:10" x14ac:dyDescent="0.3">
      <c r="A499" s="2">
        <v>45308</v>
      </c>
      <c r="B499" s="3">
        <v>-5.186875214289937E-3</v>
      </c>
      <c r="C499" s="3">
        <v>-5.8703361677977248E-3</v>
      </c>
      <c r="D499" s="3">
        <v>-2.0025470549612796E-2</v>
      </c>
      <c r="E499" s="3">
        <v>3.9049838102488492E-3</v>
      </c>
      <c r="F499" s="3">
        <v>-1.0125936368784061E-2</v>
      </c>
      <c r="G499" s="3">
        <v>-5.6327271267556144E-3</v>
      </c>
      <c r="H499" s="3">
        <f>(Sheet1!$Y$19*' Rolling-window portfolio analy'!B499+Sheet1!$Z$19*' Rolling-window portfolio analy'!C499+Sheet1!$AA$19*' Rolling-window portfolio analy'!D499+Sheet1!$AB$19*' Rolling-window portfolio analy'!E499+Sheet1!$AC$19*' Rolling-window portfolio analy'!F499)</f>
        <v>-4.7987493732866938E-3</v>
      </c>
      <c r="I499" s="6">
        <f t="shared" si="12"/>
        <v>2.0516942716925461</v>
      </c>
      <c r="J499" s="86">
        <f t="shared" si="13"/>
        <v>2.3292677839906848E-3</v>
      </c>
    </row>
    <row r="500" spans="1:10" x14ac:dyDescent="0.3">
      <c r="A500" s="2">
        <v>45307</v>
      </c>
      <c r="B500" s="3">
        <v>-1.2393610132458198E-2</v>
      </c>
      <c r="C500" s="3">
        <v>3.0067977610231982E-2</v>
      </c>
      <c r="D500" s="3">
        <v>4.6490512176933004E-3</v>
      </c>
      <c r="E500" s="3">
        <v>-2.73372868635181E-2</v>
      </c>
      <c r="F500" s="3">
        <v>-3.4482792789159327E-3</v>
      </c>
      <c r="G500" s="3">
        <v>-3.7382986232446964E-3</v>
      </c>
      <c r="H500" s="3">
        <f>(Sheet1!$Y$19*' Rolling-window portfolio analy'!B500+Sheet1!$Z$19*' Rolling-window portfolio analy'!C500+Sheet1!$AA$19*' Rolling-window portfolio analy'!D500+Sheet1!$AB$19*' Rolling-window portfolio analy'!E500+Sheet1!$AC$19*' Rolling-window portfolio analy'!F500)</f>
        <v>1.4016911560676887E-2</v>
      </c>
      <c r="I500" s="6">
        <f t="shared" si="12"/>
        <v>1.9796099606128452</v>
      </c>
      <c r="J500" s="86">
        <f t="shared" si="13"/>
        <v>2.4154539773994146E-3</v>
      </c>
    </row>
    <row r="501" spans="1:10" x14ac:dyDescent="0.3">
      <c r="A501" s="2">
        <v>45303</v>
      </c>
      <c r="B501" s="3">
        <v>1.7765340733330659E-3</v>
      </c>
      <c r="C501" s="3">
        <v>-2.0085827989051539E-3</v>
      </c>
      <c r="D501" s="3">
        <v>-3.7349390616695295E-2</v>
      </c>
      <c r="E501" s="3">
        <v>1.1166171210432584E-2</v>
      </c>
      <c r="F501" s="3">
        <v>8.3537861583417531E-3</v>
      </c>
      <c r="G501" s="3">
        <v>7.5072645194105983E-4</v>
      </c>
      <c r="H501" s="3">
        <f>(Sheet1!$Y$19*' Rolling-window portfolio analy'!B501+Sheet1!$Z$19*' Rolling-window portfolio analy'!C501+Sheet1!$AA$19*' Rolling-window portfolio analy'!D501+Sheet1!$AB$19*' Rolling-window portfolio analy'!E501+Sheet1!$AC$19*' Rolling-window portfolio analy'!F501)</f>
        <v>1.1838111350264357E-4</v>
      </c>
      <c r="I501" s="6">
        <f t="shared" si="12"/>
        <v>2.0812061499734615</v>
      </c>
      <c r="J501" s="86">
        <f t="shared" si="13"/>
        <v>1.7849359008037004E-3</v>
      </c>
    </row>
    <row r="502" spans="1:10" x14ac:dyDescent="0.3">
      <c r="A502" s="2">
        <v>45302</v>
      </c>
      <c r="B502" s="3">
        <v>-3.2277181177477222E-3</v>
      </c>
      <c r="C502" s="3">
        <v>8.6104773074213124E-3</v>
      </c>
      <c r="D502" s="3">
        <v>-2.9145961080802474E-2</v>
      </c>
      <c r="E502" s="3">
        <v>-1.9230775157414877E-3</v>
      </c>
      <c r="F502" s="3">
        <v>-3.7534330192804085E-3</v>
      </c>
      <c r="G502" s="3">
        <v>-6.7128903604016395E-4</v>
      </c>
      <c r="H502" s="3">
        <f>(Sheet1!$Y$19*' Rolling-window portfolio analy'!B502+Sheet1!$Z$19*' Rolling-window portfolio analy'!C502+Sheet1!$AA$19*' Rolling-window portfolio analy'!D502+Sheet1!$AB$19*' Rolling-window portfolio analy'!E502+Sheet1!$AC$19*' Rolling-window portfolio analy'!F502)</f>
        <v>4.5988260236216006E-3</v>
      </c>
      <c r="I502" s="6">
        <f t="shared" si="12"/>
        <v>2.0783069538655496</v>
      </c>
      <c r="J502" s="86">
        <f t="shared" si="13"/>
        <v>2.1359572065156982E-3</v>
      </c>
    </row>
    <row r="503" spans="1:10" x14ac:dyDescent="0.3">
      <c r="A503" s="2">
        <v>45301</v>
      </c>
      <c r="B503" s="3">
        <v>5.6553620688958323E-3</v>
      </c>
      <c r="C503" s="3">
        <v>2.2514673235551053E-2</v>
      </c>
      <c r="D503" s="3">
        <v>-4.3506146678037308E-3</v>
      </c>
      <c r="E503" s="3">
        <v>-1.2410660486338747E-2</v>
      </c>
      <c r="F503" s="3">
        <v>2.5970293055607922E-3</v>
      </c>
      <c r="G503" s="3">
        <v>5.6499398196109933E-3</v>
      </c>
      <c r="H503" s="3">
        <f>(Sheet1!$Y$19*' Rolling-window portfolio analy'!B503+Sheet1!$Z$19*' Rolling-window portfolio analy'!C503+Sheet1!$AA$19*' Rolling-window portfolio analy'!D503+Sheet1!$AB$19*' Rolling-window portfolio analy'!E503+Sheet1!$AC$19*' Rolling-window portfolio analy'!F503)</f>
        <v>1.4960287570506728E-2</v>
      </c>
      <c r="I503" s="6">
        <f t="shared" si="12"/>
        <v>2.0739428314943922</v>
      </c>
      <c r="J503" s="86">
        <f t="shared" si="13"/>
        <v>2.3211301791534449E-3</v>
      </c>
    </row>
    <row r="504" spans="1:10" x14ac:dyDescent="0.3">
      <c r="A504" s="2">
        <v>45300</v>
      </c>
      <c r="B504" s="3">
        <v>-2.2659842444777943E-3</v>
      </c>
      <c r="C504" s="3">
        <v>1.6890049486747067E-2</v>
      </c>
      <c r="D504" s="3">
        <v>-2.3096880833306986E-2</v>
      </c>
      <c r="E504" s="3">
        <v>-2.5602397465886134E-2</v>
      </c>
      <c r="F504" s="3">
        <v>-2.3088033344053922E-3</v>
      </c>
      <c r="G504" s="3">
        <v>-1.4789856520085827E-3</v>
      </c>
      <c r="H504" s="3">
        <f>(Sheet1!$Y$19*' Rolling-window portfolio analy'!B504+Sheet1!$Z$19*' Rolling-window portfolio analy'!C504+Sheet1!$AA$19*' Rolling-window portfolio analy'!D504+Sheet1!$AB$19*' Rolling-window portfolio analy'!E504+Sheet1!$AC$19*' Rolling-window portfolio analy'!F504)</f>
        <v>8.0228887257516313E-3</v>
      </c>
      <c r="I504" s="6">
        <f t="shared" si="12"/>
        <v>2.0895136494323938</v>
      </c>
      <c r="J504" s="86">
        <f t="shared" si="13"/>
        <v>2.56955955763966E-3</v>
      </c>
    </row>
    <row r="505" spans="1:10" x14ac:dyDescent="0.3">
      <c r="A505" s="2">
        <v>45299</v>
      </c>
      <c r="B505" s="3">
        <v>2.3887267642401212E-2</v>
      </c>
      <c r="C505" s="3">
        <v>6.2180856044445454E-2</v>
      </c>
      <c r="D505" s="3">
        <v>1.2386650398585053E-2</v>
      </c>
      <c r="E505" s="3">
        <v>-2.976229392003564E-2</v>
      </c>
      <c r="F505" s="3">
        <v>2.0199112335950566E-3</v>
      </c>
      <c r="G505" s="3">
        <v>1.4015987132365047E-2</v>
      </c>
      <c r="H505" s="3">
        <f>(Sheet1!$Y$19*' Rolling-window portfolio analy'!B505+Sheet1!$Z$19*' Rolling-window portfolio analy'!C505+Sheet1!$AA$19*' Rolling-window portfolio analy'!D505+Sheet1!$AB$19*' Rolling-window portfolio analy'!E505+Sheet1!$AC$19*' Rolling-window portfolio analy'!F505)</f>
        <v>4.3845799376171612E-2</v>
      </c>
      <c r="I505" s="6">
        <f t="shared" si="12"/>
        <v>2.141196536227457</v>
      </c>
      <c r="J505" s="86">
        <f t="shared" si="13"/>
        <v>2.6986773905671355E-3</v>
      </c>
    </row>
    <row r="506" spans="1:10" x14ac:dyDescent="0.3">
      <c r="A506" s="2">
        <v>45296</v>
      </c>
      <c r="B506" s="3">
        <v>-4.0210470329829356E-3</v>
      </c>
      <c r="C506" s="3">
        <v>2.2658023892583996E-2</v>
      </c>
      <c r="D506" s="3">
        <v>-1.850995438251376E-3</v>
      </c>
      <c r="E506" s="3">
        <v>5.099756065384581E-3</v>
      </c>
      <c r="F506" s="3">
        <v>-2.8843400440862555E-3</v>
      </c>
      <c r="G506" s="3">
        <v>1.8240092336748459E-3</v>
      </c>
      <c r="H506" s="3">
        <f>(Sheet1!$Y$19*' Rolling-window portfolio analy'!B506+Sheet1!$Z$19*' Rolling-window portfolio analy'!C506+Sheet1!$AA$19*' Rolling-window portfolio analy'!D506+Sheet1!$AB$19*' Rolling-window portfolio analy'!E506+Sheet1!$AC$19*' Rolling-window portfolio analy'!F506)</f>
        <v>1.4313361884989247E-2</v>
      </c>
      <c r="I506" s="6">
        <f t="shared" si="12"/>
        <v>2.1399090832967649</v>
      </c>
      <c r="J506" s="86">
        <f t="shared" si="13"/>
        <v>2.93928427914466E-3</v>
      </c>
    </row>
    <row r="507" spans="1:10" x14ac:dyDescent="0.3">
      <c r="A507" s="2">
        <v>45295</v>
      </c>
      <c r="B507" s="3">
        <v>-1.2781471795321235E-2</v>
      </c>
      <c r="C507" s="3">
        <v>8.9987004637008695E-3</v>
      </c>
      <c r="D507" s="3">
        <v>-2.1831319808953103E-3</v>
      </c>
      <c r="E507" s="3">
        <v>-1.9950043821839254E-2</v>
      </c>
      <c r="F507" s="3">
        <v>1.7296055046895737E-3</v>
      </c>
      <c r="G507" s="3">
        <v>-3.434296699869414E-3</v>
      </c>
      <c r="H507" s="3">
        <f>(Sheet1!$Y$19*' Rolling-window portfolio analy'!B507+Sheet1!$Z$19*' Rolling-window portfolio analy'!C507+Sheet1!$AA$19*' Rolling-window portfolio analy'!D507+Sheet1!$AB$19*' Rolling-window portfolio analy'!E507+Sheet1!$AC$19*' Rolling-window portfolio analy'!F507)</f>
        <v>8.1597093650699376E-4</v>
      </c>
      <c r="I507" s="6">
        <f t="shared" si="12"/>
        <v>2.1453511777437035</v>
      </c>
      <c r="J507" s="86">
        <f t="shared" si="13"/>
        <v>2.9412727068166074E-3</v>
      </c>
    </row>
    <row r="508" spans="1:10" x14ac:dyDescent="0.3">
      <c r="A508" s="2">
        <v>45294</v>
      </c>
      <c r="B508" s="3">
        <v>-7.5157833035290516E-3</v>
      </c>
      <c r="C508" s="3">
        <v>-1.2534110197939338E-2</v>
      </c>
      <c r="D508" s="3">
        <v>-4.096121737181431E-2</v>
      </c>
      <c r="E508" s="3">
        <v>-2.947678724364237E-4</v>
      </c>
      <c r="F508" s="3">
        <v>1.1547345393967433E-3</v>
      </c>
      <c r="G508" s="3">
        <v>-8.0486143089745707E-3</v>
      </c>
      <c r="H508" s="3">
        <f>(Sheet1!$Y$19*' Rolling-window portfolio analy'!B508+Sheet1!$Z$19*' Rolling-window portfolio analy'!C508+Sheet1!$AA$19*' Rolling-window portfolio analy'!D508+Sheet1!$AB$19*' Rolling-window portfolio analy'!E508+Sheet1!$AC$19*' Rolling-window portfolio analy'!F508)</f>
        <v>-1.0176663066291915E-2</v>
      </c>
      <c r="I508" s="6">
        <f t="shared" si="12"/>
        <v>2.1292602420301852</v>
      </c>
      <c r="J508" s="86">
        <f t="shared" si="13"/>
        <v>3.0503936377766091E-3</v>
      </c>
    </row>
    <row r="509" spans="1:10" x14ac:dyDescent="0.3">
      <c r="A509" s="2">
        <v>45293</v>
      </c>
      <c r="B509" s="3">
        <v>-3.6442671368269126E-2</v>
      </c>
      <c r="C509" s="3">
        <v>-2.7640207734211265E-2</v>
      </c>
      <c r="D509" s="3">
        <v>-2.4149728432931988E-4</v>
      </c>
      <c r="E509" s="3">
        <v>-7.3410988913060063E-3</v>
      </c>
      <c r="F509" s="3">
        <v>-1.4432099488689727E-3</v>
      </c>
      <c r="G509" s="3">
        <v>-5.6766608929654707E-3</v>
      </c>
      <c r="H509" s="3">
        <f>(Sheet1!$Y$19*' Rolling-window portfolio analy'!B509+Sheet1!$Z$19*' Rolling-window portfolio analy'!C509+Sheet1!$AA$19*' Rolling-window portfolio analy'!D509+Sheet1!$AB$19*' Rolling-window portfolio analy'!E509+Sheet1!$AC$19*' Rolling-window portfolio analy'!F509)</f>
        <v>-2.7853945553432017E-2</v>
      </c>
      <c r="I509" s="6">
        <f t="shared" si="12"/>
        <v>2.1758492856643179</v>
      </c>
      <c r="J509" s="86">
        <f t="shared" si="13"/>
        <v>2.7723516431606677E-3</v>
      </c>
    </row>
    <row r="510" spans="1:10" x14ac:dyDescent="0.3">
      <c r="A510" s="2">
        <v>45289</v>
      </c>
      <c r="B510" s="3">
        <v>-5.4388779796984039E-3</v>
      </c>
      <c r="C510" s="3">
        <v>0</v>
      </c>
      <c r="D510" s="3">
        <v>-1.8738338808305364E-2</v>
      </c>
      <c r="E510" s="3">
        <v>-5.8496638111467597E-4</v>
      </c>
      <c r="F510" s="3">
        <v>-2.0170011160267937E-3</v>
      </c>
      <c r="G510" s="3">
        <v>-2.8304729998547477E-3</v>
      </c>
      <c r="H510" s="3">
        <f>(Sheet1!$Y$19*' Rolling-window portfolio analy'!B510+Sheet1!$Z$19*' Rolling-window portfolio analy'!C510+Sheet1!$AA$19*' Rolling-window portfolio analy'!D510+Sheet1!$AB$19*' Rolling-window portfolio analy'!E510+Sheet1!$AC$19*' Rolling-window portfolio analy'!F510)</f>
        <v>-1.4420293864768447E-3</v>
      </c>
      <c r="I510" s="6">
        <f t="shared" si="12"/>
        <v>2.2539451940095412</v>
      </c>
      <c r="J510" s="86">
        <f t="shared" si="13"/>
        <v>3.241433195586692E-3</v>
      </c>
    </row>
    <row r="511" spans="1:10" x14ac:dyDescent="0.3">
      <c r="A511" s="2">
        <v>45288</v>
      </c>
      <c r="B511" s="3">
        <v>2.2237746086522891E-3</v>
      </c>
      <c r="C511" s="3">
        <v>2.0214278158766684E-3</v>
      </c>
      <c r="D511" s="3">
        <v>-3.2104113462955823E-2</v>
      </c>
      <c r="E511" s="3">
        <v>-8.4437828801899994E-3</v>
      </c>
      <c r="F511" s="3">
        <v>2.594035177046749E-3</v>
      </c>
      <c r="G511" s="3">
        <v>3.7010203319937546E-4</v>
      </c>
      <c r="H511" s="3">
        <f>(Sheet1!$Y$19*' Rolling-window portfolio analy'!B511+Sheet1!$Z$19*' Rolling-window portfolio analy'!C511+Sheet1!$AA$19*' Rolling-window portfolio analy'!D511+Sheet1!$AB$19*' Rolling-window portfolio analy'!E511+Sheet1!$AC$19*' Rolling-window portfolio analy'!F511)</f>
        <v>1.0171179758261669E-3</v>
      </c>
      <c r="I511" s="6">
        <f t="shared" ref="I511:I574" si="14">SLOPE(H452:H511,G452:G511)</f>
        <v>2.2296539277439105</v>
      </c>
      <c r="J511" s="86">
        <f t="shared" ref="J511:J574" si="15">AVERAGE(H452:H511)-($N$1+I511*(AVERAGE(G452:G511)-$N$1))</f>
        <v>3.5034107158608422E-3</v>
      </c>
    </row>
    <row r="512" spans="1:10" x14ac:dyDescent="0.3">
      <c r="A512" s="2">
        <v>45287</v>
      </c>
      <c r="B512" s="3">
        <v>5.1786640204498299E-4</v>
      </c>
      <c r="C512" s="3">
        <v>2.8368813351997567E-3</v>
      </c>
      <c r="D512" s="3">
        <v>1.8647389088117389E-2</v>
      </c>
      <c r="E512" s="3">
        <v>-8.3730819773874046E-3</v>
      </c>
      <c r="F512" s="3">
        <v>-8.6207430439071992E-3</v>
      </c>
      <c r="G512" s="3">
        <v>1.429419277681746E-3</v>
      </c>
      <c r="H512" s="3">
        <f>(Sheet1!$Y$19*' Rolling-window portfolio analy'!B512+Sheet1!$Z$19*' Rolling-window portfolio analy'!C512+Sheet1!$AA$19*' Rolling-window portfolio analy'!D512+Sheet1!$AB$19*' Rolling-window portfolio analy'!E512+Sheet1!$AC$19*' Rolling-window portfolio analy'!F512)</f>
        <v>1.22547173528368E-3</v>
      </c>
      <c r="I512" s="6">
        <f t="shared" si="14"/>
        <v>2.2396732173485572</v>
      </c>
      <c r="J512" s="86">
        <f t="shared" si="15"/>
        <v>3.3027727039144587E-3</v>
      </c>
    </row>
    <row r="513" spans="1:10" x14ac:dyDescent="0.3">
      <c r="A513" s="2">
        <v>45286</v>
      </c>
      <c r="B513" s="3">
        <v>-2.8449521322311392E-3</v>
      </c>
      <c r="C513" s="3">
        <v>9.1734411516954384E-3</v>
      </c>
      <c r="D513" s="3">
        <v>1.5987770572986455E-2</v>
      </c>
      <c r="E513" s="3">
        <v>1.9158786302658805E-2</v>
      </c>
      <c r="F513" s="3">
        <v>9.1981102654886022E-3</v>
      </c>
      <c r="G513" s="3">
        <v>4.2227363999498384E-3</v>
      </c>
      <c r="H513" s="3">
        <f>(Sheet1!$Y$19*' Rolling-window portfolio analy'!B513+Sheet1!$Z$19*' Rolling-window portfolio analy'!C513+Sheet1!$AA$19*' Rolling-window portfolio analy'!D513+Sheet1!$AB$19*' Rolling-window portfolio analy'!E513+Sheet1!$AC$19*' Rolling-window portfolio analy'!F513)</f>
        <v>7.1442524754898509E-3</v>
      </c>
      <c r="I513" s="6">
        <f t="shared" si="14"/>
        <v>2.2570689688679133</v>
      </c>
      <c r="J513" s="86">
        <f t="shared" si="15"/>
        <v>2.8437502331154726E-3</v>
      </c>
    </row>
    <row r="514" spans="1:10" x14ac:dyDescent="0.3">
      <c r="A514" s="2">
        <v>45282</v>
      </c>
      <c r="B514" s="3">
        <v>-5.5630101227769546E-3</v>
      </c>
      <c r="C514" s="3">
        <v>-3.2713175769146555E-3</v>
      </c>
      <c r="D514" s="3">
        <v>-7.731183980043169E-3</v>
      </c>
      <c r="E514" s="3">
        <v>2.3474189183048913E-3</v>
      </c>
      <c r="F514" s="3">
        <v>4.9211273145470906E-3</v>
      </c>
      <c r="G514" s="3">
        <v>1.6587067997896167E-3</v>
      </c>
      <c r="H514" s="3">
        <f>(Sheet1!$Y$19*' Rolling-window portfolio analy'!B514+Sheet1!$Z$19*' Rolling-window portfolio analy'!C514+Sheet1!$AA$19*' Rolling-window portfolio analy'!D514+Sheet1!$AB$19*' Rolling-window portfolio analy'!E514+Sheet1!$AC$19*' Rolling-window portfolio analy'!F514)</f>
        <v>-3.3163124843276098E-3</v>
      </c>
      <c r="I514" s="6">
        <f t="shared" si="14"/>
        <v>2.2637228006730026</v>
      </c>
      <c r="J514" s="86">
        <f t="shared" si="15"/>
        <v>2.8668032498215816E-3</v>
      </c>
    </row>
    <row r="515" spans="1:10" x14ac:dyDescent="0.3">
      <c r="A515" s="2">
        <v>45281</v>
      </c>
      <c r="B515" s="3">
        <v>-7.7019849254231416E-4</v>
      </c>
      <c r="C515" s="3">
        <v>1.8126139939121096E-2</v>
      </c>
      <c r="D515" s="3">
        <v>2.934585831453319E-2</v>
      </c>
      <c r="E515" s="3">
        <v>2.9381519235897077E-4</v>
      </c>
      <c r="F515" s="3">
        <v>2.9061339837290613E-3</v>
      </c>
      <c r="G515" s="3">
        <v>1.024879009249407E-2</v>
      </c>
      <c r="H515" s="3">
        <f>(Sheet1!$Y$19*' Rolling-window portfolio analy'!B515+Sheet1!$Z$19*' Rolling-window portfolio analy'!C515+Sheet1!$AA$19*' Rolling-window portfolio analy'!D515+Sheet1!$AB$19*' Rolling-window portfolio analy'!E515+Sheet1!$AC$19*' Rolling-window portfolio analy'!F515)</f>
        <v>1.1755710268993505E-2</v>
      </c>
      <c r="I515" s="6">
        <f t="shared" si="14"/>
        <v>2.2499929586636274</v>
      </c>
      <c r="J515" s="86">
        <f t="shared" si="15"/>
        <v>2.8434846487173956E-3</v>
      </c>
    </row>
    <row r="516" spans="1:10" x14ac:dyDescent="0.3">
      <c r="A516" s="2">
        <v>45280</v>
      </c>
      <c r="B516" s="3">
        <v>-1.0771730361860072E-2</v>
      </c>
      <c r="C516" s="3">
        <v>-3.0500778019519451E-2</v>
      </c>
      <c r="D516" s="3">
        <v>-3.9976772161896504E-2</v>
      </c>
      <c r="E516" s="3">
        <v>-1.1747431600608079E-3</v>
      </c>
      <c r="F516" s="3">
        <v>-6.3823831390898327E-3</v>
      </c>
      <c r="G516" s="3">
        <v>-1.4793144174519959E-2</v>
      </c>
      <c r="H516" s="3">
        <f>(Sheet1!$Y$19*' Rolling-window portfolio analy'!B516+Sheet1!$Z$19*' Rolling-window portfolio analy'!C516+Sheet1!$AA$19*' Rolling-window portfolio analy'!D516+Sheet1!$AB$19*' Rolling-window portfolio analy'!E516+Sheet1!$AC$19*' Rolling-window portfolio analy'!F516)</f>
        <v>-2.28298031335805E-2</v>
      </c>
      <c r="I516" s="6">
        <f t="shared" si="14"/>
        <v>2.2125314923189379</v>
      </c>
      <c r="J516" s="86">
        <f t="shared" si="15"/>
        <v>3.0601465033549629E-3</v>
      </c>
    </row>
    <row r="517" spans="1:10" x14ac:dyDescent="0.3">
      <c r="A517" s="2">
        <v>45279</v>
      </c>
      <c r="B517" s="3">
        <v>5.345836624347039E-3</v>
      </c>
      <c r="C517" s="3">
        <v>-9.630893060961189E-3</v>
      </c>
      <c r="D517" s="3">
        <v>2.0185252388921545E-2</v>
      </c>
      <c r="E517" s="3">
        <v>0</v>
      </c>
      <c r="F517" s="3">
        <v>7.2558727855438097E-3</v>
      </c>
      <c r="G517" s="3">
        <v>5.8492552349014293E-3</v>
      </c>
      <c r="H517" s="3">
        <f>(Sheet1!$Y$19*' Rolling-window portfolio analy'!B517+Sheet1!$Z$19*' Rolling-window portfolio analy'!C517+Sheet1!$AA$19*' Rolling-window portfolio analy'!D517+Sheet1!$AB$19*' Rolling-window portfolio analy'!E517+Sheet1!$AC$19*' Rolling-window portfolio analy'!F517)</f>
        <v>-4.9387711447588089E-3</v>
      </c>
      <c r="I517" s="6">
        <f t="shared" si="14"/>
        <v>2.1983211343520703</v>
      </c>
      <c r="J517" s="86">
        <f t="shared" si="15"/>
        <v>2.9018886095111534E-3</v>
      </c>
    </row>
    <row r="518" spans="1:10" x14ac:dyDescent="0.3">
      <c r="A518" s="2">
        <v>45278</v>
      </c>
      <c r="B518" s="3">
        <v>-8.5396747300047204E-3</v>
      </c>
      <c r="C518" s="3">
        <v>2.4048850201288902E-2</v>
      </c>
      <c r="D518" s="3">
        <v>-5.6173255822186538E-3</v>
      </c>
      <c r="E518" s="3">
        <v>1.4486580023480446E-2</v>
      </c>
      <c r="F518" s="3">
        <v>9.6590828534393516E-3</v>
      </c>
      <c r="G518" s="3">
        <v>4.5180974872495441E-3</v>
      </c>
      <c r="H518" s="3">
        <f>(Sheet1!$Y$19*' Rolling-window portfolio analy'!B518+Sheet1!$Z$19*' Rolling-window portfolio analy'!C518+Sheet1!$AA$19*' Rolling-window portfolio analy'!D518+Sheet1!$AB$19*' Rolling-window portfolio analy'!E518+Sheet1!$AC$19*' Rolling-window portfolio analy'!F518)</f>
        <v>1.4983763177196102E-2</v>
      </c>
      <c r="I518" s="6">
        <f t="shared" si="14"/>
        <v>2.2312021247529126</v>
      </c>
      <c r="J518" s="86">
        <f t="shared" si="15"/>
        <v>2.7077597183100977E-3</v>
      </c>
    </row>
    <row r="519" spans="1:10" x14ac:dyDescent="0.3">
      <c r="A519" s="2">
        <v>45275</v>
      </c>
      <c r="B519" s="3">
        <v>-2.7294800609216695E-3</v>
      </c>
      <c r="C519" s="3">
        <v>1.1106654691250913E-2</v>
      </c>
      <c r="D519" s="3">
        <v>9.7117005505233858E-3</v>
      </c>
      <c r="E519" s="3">
        <v>1.1918952543319029E-3</v>
      </c>
      <c r="F519" s="3">
        <v>4.7169898781388667E-3</v>
      </c>
      <c r="G519" s="3">
        <v>-7.6281368101049259E-5</v>
      </c>
      <c r="H519" s="3">
        <f>(Sheet1!$Y$19*' Rolling-window portfolio analy'!B519+Sheet1!$Z$19*' Rolling-window portfolio analy'!C519+Sheet1!$AA$19*' Rolling-window portfolio analy'!D519+Sheet1!$AB$19*' Rolling-window portfolio analy'!E519+Sheet1!$AC$19*' Rolling-window portfolio analy'!F519)</f>
        <v>6.7227972801399303E-3</v>
      </c>
      <c r="I519" s="6">
        <f t="shared" si="14"/>
        <v>2.2074771403660196</v>
      </c>
      <c r="J519" s="86">
        <f t="shared" si="15"/>
        <v>3.0544017290130665E-3</v>
      </c>
    </row>
    <row r="520" spans="1:10" x14ac:dyDescent="0.3">
      <c r="A520" s="2">
        <v>45274</v>
      </c>
      <c r="B520" s="3">
        <v>7.5744190254989341E-4</v>
      </c>
      <c r="C520" s="3">
        <v>5.3919666097320467E-3</v>
      </c>
      <c r="D520" s="3">
        <v>4.7975916989490094E-2</v>
      </c>
      <c r="E520" s="3">
        <v>2.8426468022400671E-2</v>
      </c>
      <c r="F520" s="3">
        <v>1.7889564750775123E-2</v>
      </c>
      <c r="G520" s="3">
        <v>2.6435733742609306E-3</v>
      </c>
      <c r="H520" s="3">
        <f>(Sheet1!$Y$19*' Rolling-window portfolio analy'!B520+Sheet1!$Z$19*' Rolling-window portfolio analy'!C520+Sheet1!$AA$19*' Rolling-window portfolio analy'!D520+Sheet1!$AB$19*' Rolling-window portfolio analy'!E520+Sheet1!$AC$19*' Rolling-window portfolio analy'!F520)</f>
        <v>6.5017441847062159E-3</v>
      </c>
      <c r="I520" s="6">
        <f t="shared" si="14"/>
        <v>2.1969069044361258</v>
      </c>
      <c r="J520" s="86">
        <f t="shared" si="15"/>
        <v>3.1703573907969603E-3</v>
      </c>
    </row>
    <row r="521" spans="1:10" x14ac:dyDescent="0.3">
      <c r="A521" s="2">
        <v>45273</v>
      </c>
      <c r="B521" s="3">
        <v>1.6553717956155536E-2</v>
      </c>
      <c r="C521" s="3">
        <v>8.9817836189753919E-3</v>
      </c>
      <c r="D521" s="3">
        <v>9.5738711534119926E-3</v>
      </c>
      <c r="E521" s="3">
        <v>9.2450581440512089E-3</v>
      </c>
      <c r="F521" s="3">
        <v>6.0186580209881243E-4</v>
      </c>
      <c r="G521" s="3">
        <v>1.3558420429298217E-2</v>
      </c>
      <c r="H521" s="3">
        <f>(Sheet1!$Y$19*' Rolling-window portfolio analy'!B521+Sheet1!$Z$19*' Rolling-window portfolio analy'!C521+Sheet1!$AA$19*' Rolling-window portfolio analy'!D521+Sheet1!$AB$19*' Rolling-window portfolio analy'!E521+Sheet1!$AC$19*' Rolling-window portfolio analy'!F521)</f>
        <v>1.0890839795777893E-2</v>
      </c>
      <c r="I521" s="6">
        <f t="shared" si="14"/>
        <v>2.0498470922258694</v>
      </c>
      <c r="J521" s="86">
        <f t="shared" si="15"/>
        <v>2.7026599191535441E-3</v>
      </c>
    </row>
    <row r="522" spans="1:10" x14ac:dyDescent="0.3">
      <c r="A522" s="2">
        <v>45272</v>
      </c>
      <c r="B522" s="3">
        <v>7.8888753763799828E-3</v>
      </c>
      <c r="C522" s="3">
        <v>2.1848360850366556E-2</v>
      </c>
      <c r="D522" s="3">
        <v>-1.1452668441141322E-2</v>
      </c>
      <c r="E522" s="3">
        <v>-6.4805040872031386E-3</v>
      </c>
      <c r="F522" s="3">
        <v>6.0222826270591909E-4</v>
      </c>
      <c r="G522" s="3">
        <v>4.5887580600857377E-3</v>
      </c>
      <c r="H522" s="3">
        <f>(Sheet1!$Y$19*' Rolling-window portfolio analy'!B522+Sheet1!$Z$19*' Rolling-window portfolio analy'!C522+Sheet1!$AA$19*' Rolling-window portfolio analy'!D522+Sheet1!$AB$19*' Rolling-window portfolio analy'!E522+Sheet1!$AC$19*' Rolling-window portfolio analy'!F522)</f>
        <v>1.5629185199226531E-2</v>
      </c>
      <c r="I522" s="6">
        <f t="shared" si="14"/>
        <v>2.0454145878947183</v>
      </c>
      <c r="J522" s="86">
        <f t="shared" si="15"/>
        <v>2.911604341691527E-3</v>
      </c>
    </row>
    <row r="523" spans="1:10" x14ac:dyDescent="0.3">
      <c r="A523" s="2">
        <v>45271</v>
      </c>
      <c r="B523" s="3">
        <v>-1.301157496572789E-2</v>
      </c>
      <c r="C523" s="3">
        <v>-1.8696104378600316E-2</v>
      </c>
      <c r="D523" s="3">
        <v>-1.695726971932764E-2</v>
      </c>
      <c r="E523" s="3">
        <v>8.339816677386331E-3</v>
      </c>
      <c r="F523" s="3">
        <v>7.2551708811720156E-3</v>
      </c>
      <c r="G523" s="3">
        <v>3.9168516750811289E-3</v>
      </c>
      <c r="H523" s="3">
        <f>(Sheet1!$Y$19*' Rolling-window portfolio analy'!B523+Sheet1!$Z$19*' Rolling-window portfolio analy'!C523+Sheet1!$AA$19*' Rolling-window portfolio analy'!D523+Sheet1!$AB$19*' Rolling-window portfolio analy'!E523+Sheet1!$AC$19*' Rolling-window portfolio analy'!F523)</f>
        <v>-1.4714658693398643E-2</v>
      </c>
      <c r="I523" s="6">
        <f t="shared" si="14"/>
        <v>1.9565046352356148</v>
      </c>
      <c r="J523" s="86">
        <f t="shared" si="15"/>
        <v>3.0561510589011964E-3</v>
      </c>
    </row>
    <row r="524" spans="1:10" x14ac:dyDescent="0.3">
      <c r="A524" s="2">
        <v>45268</v>
      </c>
      <c r="B524" s="3">
        <v>7.3850276661884184E-3</v>
      </c>
      <c r="C524" s="3">
        <v>1.9339674067229619E-2</v>
      </c>
      <c r="D524" s="3">
        <v>4.9334091179557716E-3</v>
      </c>
      <c r="E524" s="3">
        <v>1.5945312043323369E-2</v>
      </c>
      <c r="F524" s="3">
        <v>-1.6250733789749811E-2</v>
      </c>
      <c r="G524" s="3">
        <v>4.0870746210065929E-3</v>
      </c>
      <c r="H524" s="3">
        <f>(Sheet1!$Y$19*' Rolling-window portfolio analy'!B524+Sheet1!$Z$19*' Rolling-window portfolio analy'!C524+Sheet1!$AA$19*' Rolling-window portfolio analy'!D524+Sheet1!$AB$19*' Rolling-window portfolio analy'!E524+Sheet1!$AC$19*' Rolling-window portfolio analy'!F524)</f>
        <v>1.6018641760462124E-2</v>
      </c>
      <c r="I524" s="6">
        <f t="shared" si="14"/>
        <v>1.9418326893986193</v>
      </c>
      <c r="J524" s="86">
        <f t="shared" si="15"/>
        <v>3.0589628716102993E-3</v>
      </c>
    </row>
    <row r="525" spans="1:10" x14ac:dyDescent="0.3">
      <c r="A525" s="2">
        <v>45267</v>
      </c>
      <c r="B525" s="3">
        <v>1.0088292703846631E-2</v>
      </c>
      <c r="C525" s="3">
        <v>2.3888215174695592E-2</v>
      </c>
      <c r="D525" s="3">
        <v>1.3568391392026348E-2</v>
      </c>
      <c r="E525" s="3">
        <v>-4.0886988867981982E-3</v>
      </c>
      <c r="F525" s="3">
        <v>-5.9683678286163674E-4</v>
      </c>
      <c r="G525" s="3">
        <v>7.9366104133129379E-3</v>
      </c>
      <c r="H525" s="3">
        <f>(Sheet1!$Y$19*' Rolling-window portfolio analy'!B525+Sheet1!$Z$19*' Rolling-window portfolio analy'!C525+Sheet1!$AA$19*' Rolling-window portfolio analy'!D525+Sheet1!$AB$19*' Rolling-window portfolio analy'!E525+Sheet1!$AC$19*' Rolling-window portfolio analy'!F525)</f>
        <v>1.7783786336371465E-2</v>
      </c>
      <c r="I525" s="6">
        <f t="shared" si="14"/>
        <v>1.9323389551135126</v>
      </c>
      <c r="J525" s="86">
        <f t="shared" si="15"/>
        <v>2.942838849787386E-3</v>
      </c>
    </row>
    <row r="526" spans="1:10" x14ac:dyDescent="0.3">
      <c r="A526" s="2">
        <v>45266</v>
      </c>
      <c r="B526" s="3">
        <v>-5.7033389419743862E-3</v>
      </c>
      <c r="C526" s="3">
        <v>-2.3244231037381081E-2</v>
      </c>
      <c r="D526" s="3">
        <v>2.7191549729031609E-3</v>
      </c>
      <c r="E526" s="3">
        <v>-2.9077210908195494E-2</v>
      </c>
      <c r="F526" s="3">
        <v>6.8852240269488317E-3</v>
      </c>
      <c r="G526" s="3">
        <v>-3.9137791113844191E-3</v>
      </c>
      <c r="H526" s="3">
        <f>(Sheet1!$Y$19*' Rolling-window portfolio analy'!B526+Sheet1!$Z$19*' Rolling-window portfolio analy'!C526+Sheet1!$AA$19*' Rolling-window portfolio analy'!D526+Sheet1!$AB$19*' Rolling-window portfolio analy'!E526+Sheet1!$AC$19*' Rolling-window portfolio analy'!F526)</f>
        <v>-1.9388348878078776E-2</v>
      </c>
      <c r="I526" s="6">
        <f t="shared" si="14"/>
        <v>2.0398453836769521</v>
      </c>
      <c r="J526" s="86">
        <f t="shared" si="15"/>
        <v>2.2142351906040197E-3</v>
      </c>
    </row>
    <row r="527" spans="1:10" x14ac:dyDescent="0.3">
      <c r="A527" s="2">
        <v>45265</v>
      </c>
      <c r="B527" s="3">
        <v>2.0844427148629722E-2</v>
      </c>
      <c r="C527" s="3">
        <v>2.3024474965735377E-2</v>
      </c>
      <c r="D527" s="3">
        <v>1.3240758484757571E-2</v>
      </c>
      <c r="E527" s="3">
        <v>-2.8551901928440891E-2</v>
      </c>
      <c r="F527" s="3">
        <v>-1.1053137175726294E-2</v>
      </c>
      <c r="G527" s="3">
        <v>-5.691170958779145E-4</v>
      </c>
      <c r="H527" s="3">
        <f>(Sheet1!$Y$19*' Rolling-window portfolio analy'!B527+Sheet1!$Z$19*' Rolling-window portfolio analy'!C527+Sheet1!$AA$19*' Rolling-window portfolio analy'!D527+Sheet1!$AB$19*' Rolling-window portfolio analy'!E527+Sheet1!$AC$19*' Rolling-window portfolio analy'!F527)</f>
        <v>1.7572015466846277E-2</v>
      </c>
      <c r="I527" s="6">
        <f t="shared" si="14"/>
        <v>2.0420258214993932</v>
      </c>
      <c r="J527" s="86">
        <f t="shared" si="15"/>
        <v>2.2333593113373542E-3</v>
      </c>
    </row>
    <row r="528" spans="1:10" x14ac:dyDescent="0.3">
      <c r="A528" s="2">
        <v>45264</v>
      </c>
      <c r="B528" s="3">
        <v>-9.5096206177151827E-3</v>
      </c>
      <c r="C528" s="3">
        <v>-2.7096054575317059E-2</v>
      </c>
      <c r="D528" s="3">
        <v>-1.3701443237958076E-2</v>
      </c>
      <c r="E528" s="3">
        <v>-1.1844834076597268E-3</v>
      </c>
      <c r="F528" s="3">
        <v>7.7542887800050898E-3</v>
      </c>
      <c r="G528" s="3">
        <v>-5.4231665551195962E-3</v>
      </c>
      <c r="H528" s="3">
        <f>(Sheet1!$Y$19*' Rolling-window portfolio analy'!B528+Sheet1!$Z$19*' Rolling-window portfolio analy'!C528+Sheet1!$AA$19*' Rolling-window portfolio analy'!D528+Sheet1!$AB$19*' Rolling-window portfolio analy'!E528+Sheet1!$AC$19*' Rolling-window portfolio analy'!F528)</f>
        <v>-2.024032969690584E-2</v>
      </c>
      <c r="I528" s="6">
        <f t="shared" si="14"/>
        <v>2.0549588227474076</v>
      </c>
      <c r="J528" s="86">
        <f t="shared" si="15"/>
        <v>1.9084209579988205E-3</v>
      </c>
    </row>
    <row r="529" spans="1:10" x14ac:dyDescent="0.3">
      <c r="A529" s="2">
        <v>45261</v>
      </c>
      <c r="B529" s="3">
        <v>6.7683041242681341E-3</v>
      </c>
      <c r="C529" s="3">
        <v>-2.1383513392729566E-4</v>
      </c>
      <c r="D529" s="3">
        <v>-5.2201993635151416E-3</v>
      </c>
      <c r="E529" s="3">
        <v>1.1844834076597411E-3</v>
      </c>
      <c r="F529" s="3">
        <v>3.3488669754043826E-2</v>
      </c>
      <c r="G529" s="3">
        <v>5.8565417006152948E-3</v>
      </c>
      <c r="H529" s="3">
        <f>(Sheet1!$Y$19*' Rolling-window portfolio analy'!B529+Sheet1!$Z$19*' Rolling-window portfolio analy'!C529+Sheet1!$AA$19*' Rolling-window portfolio analy'!D529+Sheet1!$AB$19*' Rolling-window portfolio analy'!E529+Sheet1!$AC$19*' Rolling-window portfolio analy'!F529)</f>
        <v>1.646066945069823E-3</v>
      </c>
      <c r="I529" s="6">
        <f t="shared" si="14"/>
        <v>2.0383097887500923</v>
      </c>
      <c r="J529" s="86">
        <f t="shared" si="15"/>
        <v>1.747793055866179E-3</v>
      </c>
    </row>
    <row r="530" spans="1:10" x14ac:dyDescent="0.3">
      <c r="A530" s="2">
        <v>45260</v>
      </c>
      <c r="B530" s="3">
        <v>3.0581063588208724E-3</v>
      </c>
      <c r="C530" s="3">
        <v>-2.8871460617131042E-2</v>
      </c>
      <c r="D530" s="3">
        <v>-1.6769630109541842E-2</v>
      </c>
      <c r="E530" s="3">
        <v>1.2222539995890729E-2</v>
      </c>
      <c r="F530" s="3">
        <v>1.7804624633506468E-2</v>
      </c>
      <c r="G530" s="3">
        <v>3.7769911916856066E-3</v>
      </c>
      <c r="H530" s="3">
        <f>(Sheet1!$Y$19*' Rolling-window portfolio analy'!B530+Sheet1!$Z$19*' Rolling-window portfolio analy'!C530+Sheet1!$AA$19*' Rolling-window portfolio analy'!D530+Sheet1!$AB$19*' Rolling-window portfolio analy'!E530+Sheet1!$AC$19*' Rolling-window portfolio analy'!F530)</f>
        <v>-1.7010976248582759E-2</v>
      </c>
      <c r="I530" s="6">
        <f t="shared" si="14"/>
        <v>2.0084325199220956</v>
      </c>
      <c r="J530" s="86">
        <f t="shared" si="15"/>
        <v>1.5145925127544777E-3</v>
      </c>
    </row>
    <row r="531" spans="1:10" x14ac:dyDescent="0.3">
      <c r="A531" s="2">
        <v>45259</v>
      </c>
      <c r="B531" s="3">
        <v>-5.4243490824511988E-3</v>
      </c>
      <c r="C531" s="3">
        <v>6.6694703247471999E-3</v>
      </c>
      <c r="D531" s="3">
        <v>-1.0512259133311158E-2</v>
      </c>
      <c r="E531" s="3">
        <v>-1.429446614778619E-2</v>
      </c>
      <c r="F531" s="3">
        <v>-1.0034577771574758E-2</v>
      </c>
      <c r="G531" s="3">
        <v>-9.4668376742538802E-4</v>
      </c>
      <c r="H531" s="3">
        <f>(Sheet1!$Y$19*' Rolling-window portfolio analy'!B531+Sheet1!$Z$19*' Rolling-window portfolio analy'!C531+Sheet1!$AA$19*' Rolling-window portfolio analy'!D531+Sheet1!$AB$19*' Rolling-window portfolio analy'!E531+Sheet1!$AC$19*' Rolling-window portfolio analy'!F531)</f>
        <v>1.6421312227522353E-3</v>
      </c>
      <c r="I531" s="6">
        <f t="shared" si="14"/>
        <v>2.0061228017745085</v>
      </c>
      <c r="J531" s="86">
        <f t="shared" si="15"/>
        <v>1.661227546746157E-3</v>
      </c>
    </row>
    <row r="532" spans="1:10" x14ac:dyDescent="0.3">
      <c r="A532" s="2">
        <v>45258</v>
      </c>
      <c r="B532" s="3">
        <v>3.2089246084366536E-3</v>
      </c>
      <c r="C532" s="3">
        <v>-8.7445903887513748E-3</v>
      </c>
      <c r="D532" s="3">
        <v>4.4083359740280721E-2</v>
      </c>
      <c r="E532" s="3">
        <v>-4.4254387020582243E-3</v>
      </c>
      <c r="F532" s="3">
        <v>3.4380405798124358E-3</v>
      </c>
      <c r="G532" s="3">
        <v>9.7964714182290037E-4</v>
      </c>
      <c r="H532" s="3">
        <f>(Sheet1!$Y$19*' Rolling-window portfolio analy'!B532+Sheet1!$Z$19*' Rolling-window portfolio analy'!C532+Sheet1!$AA$19*' Rolling-window portfolio analy'!D532+Sheet1!$AB$19*' Rolling-window portfolio analy'!E532+Sheet1!$AC$19*' Rolling-window portfolio analy'!F532)</f>
        <v>-5.2664296874127348E-3</v>
      </c>
      <c r="I532" s="6">
        <f t="shared" si="14"/>
        <v>2.0219343976420965</v>
      </c>
      <c r="J532" s="86">
        <f t="shared" si="15"/>
        <v>1.3821012758176779E-3</v>
      </c>
    </row>
    <row r="533" spans="1:10" x14ac:dyDescent="0.3">
      <c r="A533" s="2">
        <v>45257</v>
      </c>
      <c r="B533" s="3">
        <v>-9.4796720812947511E-4</v>
      </c>
      <c r="C533" s="3">
        <v>9.5814105212666117E-3</v>
      </c>
      <c r="D533" s="3">
        <v>2.6721539451204095E-3</v>
      </c>
      <c r="E533" s="3">
        <v>2.3577965535324309E-3</v>
      </c>
      <c r="F533" s="3">
        <v>-2.1679387309039806E-2</v>
      </c>
      <c r="G533" s="3">
        <v>-1.9561422168003027E-3</v>
      </c>
      <c r="H533" s="3">
        <f>(Sheet1!$Y$19*' Rolling-window portfolio analy'!B533+Sheet1!$Z$19*' Rolling-window portfolio analy'!C533+Sheet1!$AA$19*' Rolling-window portfolio analy'!D533+Sheet1!$AB$19*' Rolling-window portfolio analy'!E533+Sheet1!$AC$19*' Rolling-window portfolio analy'!F533)</f>
        <v>6.2651690571141321E-3</v>
      </c>
      <c r="I533" s="6">
        <f t="shared" si="14"/>
        <v>2.009769507084243</v>
      </c>
      <c r="J533" s="86">
        <f t="shared" si="15"/>
        <v>1.551308140098709E-3</v>
      </c>
    </row>
    <row r="534" spans="1:10" x14ac:dyDescent="0.3">
      <c r="A534" s="2">
        <v>45254</v>
      </c>
      <c r="B534" s="3">
        <v>-7.0289840383322283E-3</v>
      </c>
      <c r="C534" s="3">
        <v>-1.9482481503978112E-2</v>
      </c>
      <c r="D534" s="3">
        <v>5.2804278892543037E-3</v>
      </c>
      <c r="E534" s="3">
        <v>9.1893339695652623E-3</v>
      </c>
      <c r="F534" s="3">
        <v>2.7611614413280655E-3</v>
      </c>
      <c r="G534" s="3">
        <v>5.9675559803246874E-4</v>
      </c>
      <c r="H534" s="3">
        <f>(Sheet1!$Y$19*' Rolling-window portfolio analy'!B534+Sheet1!$Z$19*' Rolling-window portfolio analy'!C534+Sheet1!$AA$19*' Rolling-window portfolio analy'!D534+Sheet1!$AB$19*' Rolling-window portfolio analy'!E534+Sheet1!$AC$19*' Rolling-window portfolio analy'!F534)</f>
        <v>-1.3620771512449722E-2</v>
      </c>
      <c r="I534" s="6">
        <f t="shared" si="14"/>
        <v>1.5473143275507406</v>
      </c>
      <c r="J534" s="86">
        <f t="shared" si="15"/>
        <v>9.2112979158841778E-4</v>
      </c>
    </row>
    <row r="535" spans="1:10" x14ac:dyDescent="0.3">
      <c r="A535" s="2">
        <v>45252</v>
      </c>
      <c r="B535" s="3">
        <v>3.5083162048033414E-3</v>
      </c>
      <c r="C535" s="3">
        <v>-2.4732661449985503E-2</v>
      </c>
      <c r="D535" s="3">
        <v>-2.9408316052721026E-2</v>
      </c>
      <c r="E535" s="3">
        <v>-9.7793044881524446E-3</v>
      </c>
      <c r="F535" s="3">
        <v>9.2593254127967262E-3</v>
      </c>
      <c r="G535" s="3">
        <v>4.0528664649777243E-3</v>
      </c>
      <c r="H535" s="3">
        <f>(Sheet1!$Y$19*' Rolling-window portfolio analy'!B535+Sheet1!$Z$19*' Rolling-window portfolio analy'!C535+Sheet1!$AA$19*' Rolling-window portfolio analy'!D535+Sheet1!$AB$19*' Rolling-window portfolio analy'!E535+Sheet1!$AC$19*' Rolling-window portfolio analy'!F535)</f>
        <v>-1.6299615216733461E-2</v>
      </c>
      <c r="I535" s="6">
        <f t="shared" si="14"/>
        <v>1.5208283460067968</v>
      </c>
      <c r="J535" s="86">
        <f t="shared" si="15"/>
        <v>8.9630511927204278E-4</v>
      </c>
    </row>
    <row r="536" spans="1:10" x14ac:dyDescent="0.3">
      <c r="A536" s="2">
        <v>45251</v>
      </c>
      <c r="B536" s="3">
        <v>-4.2398451328168225E-3</v>
      </c>
      <c r="C536" s="3">
        <v>-9.3672832429123071E-3</v>
      </c>
      <c r="D536" s="3">
        <v>2.3491013075598737E-2</v>
      </c>
      <c r="E536" s="3">
        <v>1.1802893078669626E-3</v>
      </c>
      <c r="F536" s="3">
        <v>5.9088960603745277E-3</v>
      </c>
      <c r="G536" s="3">
        <v>-2.0229887908321687E-3</v>
      </c>
      <c r="H536" s="3">
        <f>(Sheet1!$Y$19*' Rolling-window portfolio analy'!B536+Sheet1!$Z$19*' Rolling-window portfolio analy'!C536+Sheet1!$AA$19*' Rolling-window portfolio analy'!D536+Sheet1!$AB$19*' Rolling-window portfolio analy'!E536+Sheet1!$AC$19*' Rolling-window portfolio analy'!F536)</f>
        <v>-7.0320341123905417E-3</v>
      </c>
      <c r="I536" s="6">
        <f t="shared" si="14"/>
        <v>1.4570860885816421</v>
      </c>
      <c r="J536" s="86">
        <f t="shared" si="15"/>
        <v>1.2784221557080424E-3</v>
      </c>
    </row>
    <row r="537" spans="1:10" x14ac:dyDescent="0.3">
      <c r="A537" s="2">
        <v>45250</v>
      </c>
      <c r="B537" s="3">
        <v>9.2355171846718407E-3</v>
      </c>
      <c r="C537" s="3">
        <v>2.2265487045894934E-2</v>
      </c>
      <c r="D537" s="3">
        <v>5.5331062636816072E-3</v>
      </c>
      <c r="E537" s="3">
        <v>4.7351375837108916E-3</v>
      </c>
      <c r="F537" s="3">
        <v>1.3819315400080936E-2</v>
      </c>
      <c r="G537" s="3">
        <v>7.3631338909269815E-3</v>
      </c>
      <c r="H537" s="3">
        <f>(Sheet1!$Y$19*' Rolling-window portfolio analy'!B537+Sheet1!$Z$19*' Rolling-window portfolio analy'!C537+Sheet1!$AA$19*' Rolling-window portfolio analy'!D537+Sheet1!$AB$19*' Rolling-window portfolio analy'!E537+Sheet1!$AC$19*' Rolling-window portfolio analy'!F537)</f>
        <v>1.7331871040115219E-2</v>
      </c>
      <c r="I537" s="6">
        <f t="shared" si="14"/>
        <v>1.4783510975096565</v>
      </c>
      <c r="J537" s="86">
        <f t="shared" si="15"/>
        <v>1.2819972447081886E-3</v>
      </c>
    </row>
    <row r="538" spans="1:10" x14ac:dyDescent="0.3">
      <c r="A538" s="2">
        <v>45247</v>
      </c>
      <c r="B538" s="3">
        <v>-1.0542962582250905E-4</v>
      </c>
      <c r="C538" s="3">
        <v>-3.6444664756427173E-3</v>
      </c>
      <c r="D538" s="3">
        <v>3.0349036951541112E-3</v>
      </c>
      <c r="E538" s="3">
        <v>1.4040559258721823E-2</v>
      </c>
      <c r="F538" s="3">
        <v>9.213726817225782E-3</v>
      </c>
      <c r="G538" s="3">
        <v>1.2812755985166719E-3</v>
      </c>
      <c r="H538" s="3">
        <f>(Sheet1!$Y$19*' Rolling-window portfolio analy'!B538+Sheet1!$Z$19*' Rolling-window portfolio analy'!C538+Sheet1!$AA$19*' Rolling-window portfolio analy'!D538+Sheet1!$AB$19*' Rolling-window portfolio analy'!E538+Sheet1!$AC$19*' Rolling-window portfolio analy'!F538)</f>
        <v>-1.0746403792456559E-3</v>
      </c>
      <c r="I538" s="6">
        <f t="shared" si="14"/>
        <v>1.5137503461213875</v>
      </c>
      <c r="J538" s="86">
        <f t="shared" si="15"/>
        <v>1.4903244918312145E-3</v>
      </c>
    </row>
    <row r="539" spans="1:10" x14ac:dyDescent="0.3">
      <c r="A539" s="2">
        <v>45246</v>
      </c>
      <c r="B539" s="3">
        <v>9.0014374597603957E-3</v>
      </c>
      <c r="C539" s="3">
        <v>1.1995670933732829E-2</v>
      </c>
      <c r="D539" s="3">
        <v>-3.8835348443637403E-2</v>
      </c>
      <c r="E539" s="3">
        <v>-4.1832314300212455E-2</v>
      </c>
      <c r="F539" s="3">
        <v>1.0911533164443502E-2</v>
      </c>
      <c r="G539" s="3">
        <v>1.1896413835666805E-3</v>
      </c>
      <c r="H539" s="3">
        <f>(Sheet1!$Y$19*' Rolling-window portfolio analy'!B539+Sheet1!$Z$19*' Rolling-window portfolio analy'!C539+Sheet1!$AA$19*' Rolling-window portfolio analy'!D539+Sheet1!$AB$19*' Rolling-window portfolio analy'!E539+Sheet1!$AC$19*' Rolling-window portfolio analy'!F539)</f>
        <v>6.0527028997074761E-3</v>
      </c>
      <c r="I539" s="6">
        <f t="shared" si="14"/>
        <v>1.5189625054669125</v>
      </c>
      <c r="J539" s="86">
        <f t="shared" si="15"/>
        <v>1.5577437317347803E-3</v>
      </c>
    </row>
    <row r="540" spans="1:10" x14ac:dyDescent="0.3">
      <c r="A540" s="2">
        <v>45245</v>
      </c>
      <c r="B540" s="3">
        <v>3.0363587051535548E-3</v>
      </c>
      <c r="C540" s="3">
        <v>-1.5626903489466298E-2</v>
      </c>
      <c r="D540" s="3">
        <v>2.2614185974656708E-2</v>
      </c>
      <c r="E540" s="3">
        <v>-1.1534026653536183E-3</v>
      </c>
      <c r="F540" s="3">
        <v>-3.8647391098888327E-3</v>
      </c>
      <c r="G540" s="3">
        <v>1.5958076771483444E-3</v>
      </c>
      <c r="H540" s="3">
        <f>(Sheet1!$Y$19*' Rolling-window portfolio analy'!B540+Sheet1!$Z$19*' Rolling-window portfolio analy'!C540+Sheet1!$AA$19*' Rolling-window portfolio analy'!D540+Sheet1!$AB$19*' Rolling-window portfolio analy'!E540+Sheet1!$AC$19*' Rolling-window portfolio analy'!F540)</f>
        <v>-9.5433516437209796E-3</v>
      </c>
      <c r="I540" s="6">
        <f t="shared" si="14"/>
        <v>1.6262349674709387</v>
      </c>
      <c r="J540" s="86">
        <f t="shared" si="15"/>
        <v>9.2132612121272094E-4</v>
      </c>
    </row>
    <row r="541" spans="1:10" x14ac:dyDescent="0.3">
      <c r="A541" s="2">
        <v>45244</v>
      </c>
      <c r="B541" s="3">
        <v>1.4184634991956381E-2</v>
      </c>
      <c r="C541" s="3">
        <v>2.1164811192043331E-2</v>
      </c>
      <c r="D541" s="3">
        <v>5.9438034063763488E-2</v>
      </c>
      <c r="E541" s="3">
        <v>6.6503064240396956E-3</v>
      </c>
      <c r="F541" s="3">
        <v>2.1443316753639727E-2</v>
      </c>
      <c r="G541" s="3">
        <v>1.8895282757298078E-2</v>
      </c>
      <c r="H541" s="3">
        <f>(Sheet1!$Y$19*' Rolling-window portfolio analy'!B541+Sheet1!$Z$19*' Rolling-window portfolio analy'!C541+Sheet1!$AA$19*' Rolling-window portfolio analy'!D541+Sheet1!$AB$19*' Rolling-window portfolio analy'!E541+Sheet1!$AC$19*' Rolling-window portfolio analy'!F541)</f>
        <v>1.8121519975280373E-2</v>
      </c>
      <c r="I541" s="6">
        <f t="shared" si="14"/>
        <v>1.5311768203335687</v>
      </c>
      <c r="J541" s="86">
        <f t="shared" si="15"/>
        <v>8.7347119982799336E-4</v>
      </c>
    </row>
    <row r="542" spans="1:10" x14ac:dyDescent="0.3">
      <c r="A542" s="2">
        <v>45243</v>
      </c>
      <c r="B542" s="3">
        <v>-8.6207430439069754E-3</v>
      </c>
      <c r="C542" s="3">
        <v>5.9824830309846847E-3</v>
      </c>
      <c r="D542" s="3">
        <v>4.1341775553243573E-2</v>
      </c>
      <c r="E542" s="3">
        <v>3.7785250594444576E-3</v>
      </c>
      <c r="F542" s="3">
        <v>-8.1766604372454435E-3</v>
      </c>
      <c r="G542" s="3">
        <v>-8.3609108519786131E-4</v>
      </c>
      <c r="H542" s="3">
        <f>(Sheet1!$Y$19*' Rolling-window portfolio analy'!B542+Sheet1!$Z$19*' Rolling-window portfolio analy'!C542+Sheet1!$AA$19*' Rolling-window portfolio analy'!D542+Sheet1!$AB$19*' Rolling-window portfolio analy'!E542+Sheet1!$AC$19*' Rolling-window portfolio analy'!F542)</f>
        <v>2.2059755764117033E-3</v>
      </c>
      <c r="I542" s="6">
        <f t="shared" si="14"/>
        <v>1.506836945053168</v>
      </c>
      <c r="J542" s="86">
        <f t="shared" si="15"/>
        <v>7.4257968717572056E-4</v>
      </c>
    </row>
    <row r="543" spans="1:10" x14ac:dyDescent="0.3">
      <c r="A543" s="2">
        <v>45240</v>
      </c>
      <c r="B543" s="3">
        <v>2.1638001552667766E-2</v>
      </c>
      <c r="C543" s="3">
        <v>2.8969280202720771E-2</v>
      </c>
      <c r="D543" s="3">
        <v>2.1996506583774431E-2</v>
      </c>
      <c r="E543" s="3">
        <v>1.2306044545627153E-2</v>
      </c>
      <c r="F543" s="3">
        <v>1.7414601422181715E-2</v>
      </c>
      <c r="G543" s="3">
        <v>1.5495728650985885E-2</v>
      </c>
      <c r="H543" s="3">
        <f>(Sheet1!$Y$19*' Rolling-window portfolio analy'!B543+Sheet1!$Z$19*' Rolling-window portfolio analy'!C543+Sheet1!$AA$19*' Rolling-window portfolio analy'!D543+Sheet1!$AB$19*' Rolling-window portfolio analy'!E543+Sheet1!$AC$19*' Rolling-window portfolio analy'!F543)</f>
        <v>2.5552784883567232E-2</v>
      </c>
      <c r="I543" s="6">
        <f t="shared" si="14"/>
        <v>1.5103615566007524</v>
      </c>
      <c r="J543" s="86">
        <f t="shared" si="15"/>
        <v>8.7064637794033797E-4</v>
      </c>
    </row>
    <row r="544" spans="1:10" x14ac:dyDescent="0.3">
      <c r="A544" s="2">
        <v>45239</v>
      </c>
      <c r="B544" s="3">
        <v>-2.6279785176610655E-3</v>
      </c>
      <c r="C544" s="3">
        <v>8.126648659986099E-3</v>
      </c>
      <c r="D544" s="3">
        <v>-5.6160466563622363E-2</v>
      </c>
      <c r="E544" s="3">
        <v>5.3207338058800617E-3</v>
      </c>
      <c r="F544" s="3">
        <v>-6.607225886687669E-3</v>
      </c>
      <c r="G544" s="3">
        <v>-8.1167621824379983E-3</v>
      </c>
      <c r="H544" s="3">
        <f>(Sheet1!$Y$19*' Rolling-window portfolio analy'!B544+Sheet1!$Z$19*' Rolling-window portfolio analy'!C544+Sheet1!$AA$19*' Rolling-window portfolio analy'!D544+Sheet1!$AB$19*' Rolling-window portfolio analy'!E544+Sheet1!$AC$19*' Rolling-window portfolio analy'!F544)</f>
        <v>5.0693943111502432E-3</v>
      </c>
      <c r="I544" s="6">
        <f t="shared" si="14"/>
        <v>1.4356367880658287</v>
      </c>
      <c r="J544" s="86">
        <f t="shared" si="15"/>
        <v>1.2218959117969515E-3</v>
      </c>
    </row>
    <row r="545" spans="1:10" x14ac:dyDescent="0.3">
      <c r="A545" s="2">
        <v>45238</v>
      </c>
      <c r="B545" s="3">
        <v>5.8676925227720564E-3</v>
      </c>
      <c r="C545" s="3">
        <v>1.3185104013730912E-2</v>
      </c>
      <c r="D545" s="3">
        <v>-3.151095031587441E-4</v>
      </c>
      <c r="E545" s="3">
        <v>-3.5502995871669364E-3</v>
      </c>
      <c r="F545" s="3">
        <v>6.587615521501637E-4</v>
      </c>
      <c r="G545" s="3">
        <v>1.0044332873557552E-3</v>
      </c>
      <c r="H545" s="3">
        <f>(Sheet1!$Y$19*' Rolling-window portfolio analy'!B545+Sheet1!$Z$19*' Rolling-window portfolio analy'!C545+Sheet1!$AA$19*' Rolling-window portfolio analy'!D545+Sheet1!$AB$19*' Rolling-window portfolio analy'!E545+Sheet1!$AC$19*' Rolling-window portfolio analy'!F545)</f>
        <v>9.7533730690481778E-3</v>
      </c>
      <c r="I545" s="6">
        <f t="shared" si="14"/>
        <v>1.4340261790207982</v>
      </c>
      <c r="J545" s="86">
        <f t="shared" si="15"/>
        <v>1.5263812163972962E-3</v>
      </c>
    </row>
    <row r="546" spans="1:10" x14ac:dyDescent="0.3">
      <c r="A546" s="2">
        <v>45237</v>
      </c>
      <c r="B546" s="3">
        <v>1.4347289450206285E-2</v>
      </c>
      <c r="C546" s="3">
        <v>4.579661259024731E-3</v>
      </c>
      <c r="D546" s="3">
        <v>1.3184016993166188E-2</v>
      </c>
      <c r="E546" s="3">
        <v>-3.1397928000921164E-2</v>
      </c>
      <c r="F546" s="3">
        <v>-9.87979662119469E-4</v>
      </c>
      <c r="G546" s="3">
        <v>2.8361156932399829E-3</v>
      </c>
      <c r="H546" s="3">
        <f>(Sheet1!$Y$19*' Rolling-window portfolio analy'!B546+Sheet1!$Z$19*' Rolling-window portfolio analy'!C546+Sheet1!$AA$19*' Rolling-window portfolio analy'!D546+Sheet1!$AB$19*' Rolling-window portfolio analy'!E546+Sheet1!$AC$19*' Rolling-window portfolio analy'!F546)</f>
        <v>3.6114434906032809E-3</v>
      </c>
      <c r="I546" s="6">
        <f t="shared" si="14"/>
        <v>1.5076143700156157</v>
      </c>
      <c r="J546" s="86">
        <f t="shared" si="15"/>
        <v>7.5846610647108603E-4</v>
      </c>
    </row>
    <row r="547" spans="1:10" x14ac:dyDescent="0.3">
      <c r="A547" s="2">
        <v>45236</v>
      </c>
      <c r="B547" s="3">
        <v>1.4499523438351727E-2</v>
      </c>
      <c r="C547" s="3">
        <v>1.6307104416688967E-2</v>
      </c>
      <c r="D547" s="3">
        <v>-3.1418644792039659E-3</v>
      </c>
      <c r="E547" s="3">
        <v>-7.1296466275832786E-3</v>
      </c>
      <c r="F547" s="3">
        <v>-6.5811124454919043E-4</v>
      </c>
      <c r="G547" s="3">
        <v>1.7514263468030517E-3</v>
      </c>
      <c r="H547" s="3">
        <f>(Sheet1!$Y$19*' Rolling-window portfolio analy'!B547+Sheet1!$Z$19*' Rolling-window portfolio analy'!C547+Sheet1!$AA$19*' Rolling-window portfolio analy'!D547+Sheet1!$AB$19*' Rolling-window portfolio analy'!E547+Sheet1!$AC$19*' Rolling-window portfolio analy'!F547)</f>
        <v>1.3599088234388403E-2</v>
      </c>
      <c r="I547" s="6">
        <f t="shared" si="14"/>
        <v>1.4546622930998039</v>
      </c>
      <c r="J547" s="86">
        <f t="shared" si="15"/>
        <v>7.782308706467231E-4</v>
      </c>
    </row>
    <row r="548" spans="1:10" x14ac:dyDescent="0.3">
      <c r="A548" s="2">
        <v>45233</v>
      </c>
      <c r="B548" s="3">
        <v>-5.1945235655890959E-3</v>
      </c>
      <c r="C548" s="3">
        <v>3.3893890572252582E-2</v>
      </c>
      <c r="D548" s="3">
        <v>6.6139315608386836E-3</v>
      </c>
      <c r="E548" s="3">
        <v>-9.0523956215027429E-3</v>
      </c>
      <c r="F548" s="3">
        <v>3.290014834742405E-4</v>
      </c>
      <c r="G548" s="3">
        <v>9.3498696374369732E-3</v>
      </c>
      <c r="H548" s="3">
        <f>(Sheet1!$Y$19*' Rolling-window portfolio analy'!B548+Sheet1!$Z$19*' Rolling-window portfolio analy'!C548+Sheet1!$AA$19*' Rolling-window portfolio analy'!D548+Sheet1!$AB$19*' Rolling-window portfolio analy'!E548+Sheet1!$AC$19*' Rolling-window portfolio analy'!F548)</f>
        <v>2.0049888490689505E-2</v>
      </c>
      <c r="I548" s="6">
        <f t="shared" si="14"/>
        <v>1.4690891481273185</v>
      </c>
      <c r="J548" s="86">
        <f t="shared" si="15"/>
        <v>8.3614881263292763E-4</v>
      </c>
    </row>
    <row r="549" spans="1:10" x14ac:dyDescent="0.3">
      <c r="A549" s="2">
        <v>45232</v>
      </c>
      <c r="B549" s="3">
        <v>2.0482026814284352E-2</v>
      </c>
      <c r="C549" s="3">
        <v>2.7494742199756381E-2</v>
      </c>
      <c r="D549" s="3">
        <v>6.0607460277730889E-2</v>
      </c>
      <c r="E549" s="3">
        <v>1.9048194970694411E-2</v>
      </c>
      <c r="F549" s="3">
        <v>2.7353273064315838E-2</v>
      </c>
      <c r="G549" s="3">
        <v>1.8682956430735833E-2</v>
      </c>
      <c r="H549" s="3">
        <f>(Sheet1!$Y$19*' Rolling-window portfolio analy'!B549+Sheet1!$Z$19*' Rolling-window portfolio analy'!C549+Sheet1!$AA$19*' Rolling-window portfolio analy'!D549+Sheet1!$AB$19*' Rolling-window portfolio analy'!E549+Sheet1!$AC$19*' Rolling-window portfolio analy'!F549)</f>
        <v>2.5009610698546313E-2</v>
      </c>
      <c r="I549" s="6">
        <f t="shared" si="14"/>
        <v>1.4659906781744152</v>
      </c>
      <c r="J549" s="86">
        <f t="shared" si="15"/>
        <v>7.5055895635698288E-4</v>
      </c>
    </row>
    <row r="550" spans="1:10" x14ac:dyDescent="0.3">
      <c r="A550" s="2">
        <v>45231</v>
      </c>
      <c r="B550" s="3">
        <v>1.8565248657311163E-2</v>
      </c>
      <c r="C550" s="3">
        <v>3.7304289386523158E-2</v>
      </c>
      <c r="D550" s="3">
        <v>2.3715748634539853E-2</v>
      </c>
      <c r="E550" s="3">
        <v>1.2128361200908797E-2</v>
      </c>
      <c r="F550" s="3">
        <v>-9.4245059742252696E-3</v>
      </c>
      <c r="G550" s="3">
        <v>1.0451180679737281E-2</v>
      </c>
      <c r="H550" s="3">
        <f>(Sheet1!$Y$19*' Rolling-window portfolio analy'!B550+Sheet1!$Z$19*' Rolling-window portfolio analy'!C550+Sheet1!$AA$19*' Rolling-window portfolio analy'!D550+Sheet1!$AB$19*' Rolling-window portfolio analy'!E550+Sheet1!$AC$19*' Rolling-window portfolio analy'!F550)</f>
        <v>3.0231363052123358E-2</v>
      </c>
      <c r="I550" s="6">
        <f t="shared" si="14"/>
        <v>1.5071250489627614</v>
      </c>
      <c r="J550" s="86">
        <f t="shared" si="15"/>
        <v>9.4372365390591947E-4</v>
      </c>
    </row>
    <row r="551" spans="1:10" x14ac:dyDescent="0.3">
      <c r="A551" s="2">
        <v>45230</v>
      </c>
      <c r="B551" s="3">
        <v>2.8147558606344122E-3</v>
      </c>
      <c r="C551" s="3">
        <v>-9.2751458195396066E-3</v>
      </c>
      <c r="D551" s="3">
        <v>1.7479098945403379E-2</v>
      </c>
      <c r="E551" s="3">
        <v>-1.5566760003941272E-2</v>
      </c>
      <c r="F551" s="3">
        <v>1.5190165493975238E-2</v>
      </c>
      <c r="G551" s="3">
        <v>6.4540892074659807E-3</v>
      </c>
      <c r="H551" s="3">
        <f>(Sheet1!$Y$19*' Rolling-window portfolio analy'!B551+Sheet1!$Z$19*' Rolling-window portfolio analy'!C551+Sheet1!$AA$19*' Rolling-window portfolio analy'!D551+Sheet1!$AB$19*' Rolling-window portfolio analy'!E551+Sheet1!$AC$19*' Rolling-window portfolio analy'!F551)</f>
        <v>-6.8169022644688571E-3</v>
      </c>
      <c r="I551" s="6">
        <f t="shared" si="14"/>
        <v>1.478071790614027</v>
      </c>
      <c r="J551" s="86">
        <f t="shared" si="15"/>
        <v>7.1432244896741477E-4</v>
      </c>
    </row>
    <row r="552" spans="1:10" x14ac:dyDescent="0.3">
      <c r="A552" s="2">
        <v>45229</v>
      </c>
      <c r="B552" s="3">
        <v>1.2230219504221885E-2</v>
      </c>
      <c r="C552" s="3">
        <v>1.616493685335536E-2</v>
      </c>
      <c r="D552" s="3">
        <v>-4.9137547220632662E-2</v>
      </c>
      <c r="E552" s="3">
        <v>4.2998489639872227E-3</v>
      </c>
      <c r="F552" s="3">
        <v>5.4570394630581174E-3</v>
      </c>
      <c r="G552" s="3">
        <v>1.1938544947970331E-2</v>
      </c>
      <c r="H552" s="3">
        <f>(Sheet1!$Y$19*' Rolling-window portfolio analy'!B552+Sheet1!$Z$19*' Rolling-window portfolio analy'!C552+Sheet1!$AA$19*' Rolling-window portfolio analy'!D552+Sheet1!$AB$19*' Rolling-window portfolio analy'!E552+Sheet1!$AC$19*' Rolling-window portfolio analy'!F552)</f>
        <v>1.394247337275847E-2</v>
      </c>
      <c r="I552" s="6">
        <f t="shared" si="14"/>
        <v>1.4511112185876438</v>
      </c>
      <c r="J552" s="86">
        <f t="shared" si="15"/>
        <v>8.4290048104890703E-4</v>
      </c>
    </row>
    <row r="553" spans="1:10" x14ac:dyDescent="0.3">
      <c r="A553" s="2">
        <v>45226</v>
      </c>
      <c r="B553" s="3">
        <v>7.937733778979876E-3</v>
      </c>
      <c r="C553" s="3">
        <v>4.2063652272166241E-3</v>
      </c>
      <c r="D553" s="3">
        <v>7.4565783924795351E-3</v>
      </c>
      <c r="E553" s="3">
        <v>-6.0146250343583356E-3</v>
      </c>
      <c r="F553" s="3">
        <v>-1.1898831530540617E-2</v>
      </c>
      <c r="G553" s="3">
        <v>-4.811871761208667E-3</v>
      </c>
      <c r="H553" s="3">
        <f>(Sheet1!$Y$19*' Rolling-window portfolio analy'!B553+Sheet1!$Z$19*' Rolling-window portfolio analy'!C553+Sheet1!$AA$19*' Rolling-window portfolio analy'!D553+Sheet1!$AB$19*' Rolling-window portfolio analy'!E553+Sheet1!$AC$19*' Rolling-window portfolio analy'!F553)</f>
        <v>4.1706152062494853E-3</v>
      </c>
      <c r="I553" s="6">
        <f t="shared" si="14"/>
        <v>1.4255276319835299</v>
      </c>
      <c r="J553" s="86">
        <f t="shared" si="15"/>
        <v>1.1721629793550905E-3</v>
      </c>
    </row>
    <row r="554" spans="1:10" x14ac:dyDescent="0.3">
      <c r="A554" s="2">
        <v>45225</v>
      </c>
      <c r="B554" s="3">
        <v>-2.4913268142836346E-2</v>
      </c>
      <c r="C554" s="3">
        <v>-3.5322147243143025E-2</v>
      </c>
      <c r="D554" s="3">
        <v>-3.1855005844139E-2</v>
      </c>
      <c r="E554" s="3">
        <v>2.8970739889990053E-2</v>
      </c>
      <c r="F554" s="3">
        <v>-3.3789491789648618E-4</v>
      </c>
      <c r="G554" s="3">
        <v>-1.1903071819740901E-2</v>
      </c>
      <c r="H554" s="3">
        <f>(Sheet1!$Y$19*' Rolling-window portfolio analy'!B554+Sheet1!$Z$19*' Rolling-window portfolio analy'!C554+Sheet1!$AA$19*' Rolling-window portfolio analy'!D554+Sheet1!$AB$19*' Rolling-window portfolio analy'!E554+Sheet1!$AC$19*' Rolling-window portfolio analy'!F554)</f>
        <v>-2.6628478746604574E-2</v>
      </c>
      <c r="I554" s="6">
        <f t="shared" si="14"/>
        <v>1.487703954529531</v>
      </c>
      <c r="J554" s="86">
        <f t="shared" si="15"/>
        <v>7.0788941106999593E-4</v>
      </c>
    </row>
    <row r="555" spans="1:10" x14ac:dyDescent="0.3">
      <c r="A555" s="2">
        <v>45224</v>
      </c>
      <c r="B555" s="3">
        <v>-1.3583537353133628E-2</v>
      </c>
      <c r="C555" s="3">
        <v>-4.401459499337796E-2</v>
      </c>
      <c r="D555" s="3">
        <v>-1.9117475035383642E-2</v>
      </c>
      <c r="E555" s="3">
        <v>-1.3430858827776457E-2</v>
      </c>
      <c r="F555" s="3">
        <v>-2.6990569691649467E-3</v>
      </c>
      <c r="G555" s="3">
        <v>-1.4443397939346892E-2</v>
      </c>
      <c r="H555" s="3">
        <f>(Sheet1!$Y$19*' Rolling-window portfolio analy'!B555+Sheet1!$Z$19*' Rolling-window portfolio analy'!C555+Sheet1!$AA$19*' Rolling-window portfolio analy'!D555+Sheet1!$AB$19*' Rolling-window portfolio analy'!E555+Sheet1!$AC$19*' Rolling-window portfolio analy'!F555)</f>
        <v>-3.3500569053007898E-2</v>
      </c>
      <c r="I555" s="6">
        <f t="shared" si="14"/>
        <v>1.5576491813058488</v>
      </c>
      <c r="J555" s="86">
        <f t="shared" si="15"/>
        <v>3.4100406347346629E-4</v>
      </c>
    </row>
    <row r="556" spans="1:10" x14ac:dyDescent="0.3">
      <c r="A556" s="2">
        <v>45223</v>
      </c>
      <c r="B556" s="3">
        <v>2.5401237535023851E-3</v>
      </c>
      <c r="C556" s="3">
        <v>1.5930153334894039E-2</v>
      </c>
      <c r="D556" s="3">
        <v>2.0719359948007072E-2</v>
      </c>
      <c r="E556" s="3">
        <v>-5.4953139014399062E-3</v>
      </c>
      <c r="F556" s="3">
        <v>-1.6043124840575691E-2</v>
      </c>
      <c r="G556" s="3">
        <v>7.2394913997594025E-3</v>
      </c>
      <c r="H556" s="3">
        <f>(Sheet1!$Y$19*' Rolling-window portfolio analy'!B556+Sheet1!$Z$19*' Rolling-window portfolio analy'!C556+Sheet1!$AA$19*' Rolling-window portfolio analy'!D556+Sheet1!$AB$19*' Rolling-window portfolio analy'!E556+Sheet1!$AC$19*' Rolling-window portfolio analy'!F556)</f>
        <v>1.0576535727418812E-2</v>
      </c>
      <c r="I556" s="6">
        <f t="shared" si="14"/>
        <v>1.5561614237209125</v>
      </c>
      <c r="J556" s="86">
        <f t="shared" si="15"/>
        <v>2.9613496842973309E-4</v>
      </c>
    </row>
    <row r="557" spans="1:10" x14ac:dyDescent="0.3">
      <c r="A557" s="2">
        <v>45222</v>
      </c>
      <c r="B557" s="3">
        <v>6.9388229914837116E-4</v>
      </c>
      <c r="C557" s="3">
        <v>3.7462892026262691E-2</v>
      </c>
      <c r="D557" s="3">
        <v>4.2445823260903398E-4</v>
      </c>
      <c r="E557" s="3">
        <v>-4.8913922873700258E-3</v>
      </c>
      <c r="F557" s="3">
        <v>-1.9698601497687904E-2</v>
      </c>
      <c r="G557" s="3">
        <v>-1.6869643388467898E-3</v>
      </c>
      <c r="H557" s="3">
        <f>(Sheet1!$Y$19*' Rolling-window portfolio analy'!B557+Sheet1!$Z$19*' Rolling-window portfolio analy'!C557+Sheet1!$AA$19*' Rolling-window portfolio analy'!D557+Sheet1!$AB$19*' Rolling-window portfolio analy'!E557+Sheet1!$AC$19*' Rolling-window portfolio analy'!F557)</f>
        <v>2.4234144571642441E-2</v>
      </c>
      <c r="I557" s="6">
        <f t="shared" si="14"/>
        <v>1.4848571505204187</v>
      </c>
      <c r="J557" s="86">
        <f t="shared" si="15"/>
        <v>6.9624374032636275E-4</v>
      </c>
    </row>
    <row r="558" spans="1:10" x14ac:dyDescent="0.3">
      <c r="A558" s="2">
        <v>45219</v>
      </c>
      <c r="B558" s="3">
        <v>-1.4813384501607393E-2</v>
      </c>
      <c r="C558" s="3">
        <v>-1.7008434927694733E-2</v>
      </c>
      <c r="D558" s="3">
        <v>-3.7588317645851396E-2</v>
      </c>
      <c r="E558" s="3">
        <v>-2.1017530253386894E-2</v>
      </c>
      <c r="F558" s="3">
        <v>7.1778448469569829E-3</v>
      </c>
      <c r="G558" s="3">
        <v>-1.2665186185757991E-2</v>
      </c>
      <c r="H558" s="3">
        <f>(Sheet1!$Y$19*' Rolling-window portfolio analy'!B558+Sheet1!$Z$19*' Rolling-window portfolio analy'!C558+Sheet1!$AA$19*' Rolling-window portfolio analy'!D558+Sheet1!$AB$19*' Rolling-window portfolio analy'!E558+Sheet1!$AC$19*' Rolling-window portfolio analy'!F558)</f>
        <v>-1.6880194529794688E-2</v>
      </c>
      <c r="I558" s="6">
        <f t="shared" si="14"/>
        <v>1.4633159905586</v>
      </c>
      <c r="J558" s="86">
        <f t="shared" si="15"/>
        <v>6.3776013851648888E-4</v>
      </c>
    </row>
    <row r="559" spans="1:10" x14ac:dyDescent="0.3">
      <c r="A559" s="2">
        <v>45218</v>
      </c>
      <c r="B559" s="3">
        <v>-2.1633939550734318E-3</v>
      </c>
      <c r="C559" s="3">
        <v>-2.372480353630468E-3</v>
      </c>
      <c r="D559" s="3">
        <v>-9.7616281680084516E-2</v>
      </c>
      <c r="E559" s="3">
        <v>-3.927073770609215E-3</v>
      </c>
      <c r="F559" s="3">
        <v>-4.2476783356738762E-3</v>
      </c>
      <c r="G559" s="3">
        <v>-8.5190096941524674E-3</v>
      </c>
      <c r="H559" s="3">
        <f>(Sheet1!$Y$19*' Rolling-window portfolio analy'!B559+Sheet1!$Z$19*' Rolling-window portfolio analy'!C559+Sheet1!$AA$19*' Rolling-window portfolio analy'!D559+Sheet1!$AB$19*' Rolling-window portfolio analy'!E559+Sheet1!$AC$19*' Rolling-window portfolio analy'!F559)</f>
        <v>-2.640693505977649E-3</v>
      </c>
      <c r="I559" s="6">
        <f t="shared" si="14"/>
        <v>1.4401048903356763</v>
      </c>
      <c r="J559" s="86">
        <f t="shared" si="15"/>
        <v>7.788901671153441E-4</v>
      </c>
    </row>
    <row r="560" spans="1:10" x14ac:dyDescent="0.3">
      <c r="A560" s="2">
        <v>45217</v>
      </c>
      <c r="B560" s="3">
        <v>-7.4223406561697352E-3</v>
      </c>
      <c r="C560" s="3">
        <v>-4.040484591449791E-2</v>
      </c>
      <c r="D560" s="3">
        <v>-4.8931433711953569E-2</v>
      </c>
      <c r="E560" s="3">
        <v>3.0842587186119749E-3</v>
      </c>
      <c r="F560" s="3">
        <v>-2.2567044076426578E-2</v>
      </c>
      <c r="G560" s="3">
        <v>-1.349038622382619E-2</v>
      </c>
      <c r="H560" s="3">
        <f>(Sheet1!$Y$19*' Rolling-window portfolio analy'!B560+Sheet1!$Z$19*' Rolling-window portfolio analy'!C560+Sheet1!$AA$19*' Rolling-window portfolio analy'!D560+Sheet1!$AB$19*' Rolling-window portfolio analy'!E560+Sheet1!$AC$19*' Rolling-window portfolio analy'!F560)</f>
        <v>-2.8092725362872904E-2</v>
      </c>
      <c r="I560" s="6">
        <f t="shared" si="14"/>
        <v>1.5111345983455737</v>
      </c>
      <c r="J560" s="86">
        <f t="shared" si="15"/>
        <v>2.1627290709461079E-4</v>
      </c>
    </row>
    <row r="561" spans="1:10" x14ac:dyDescent="0.3">
      <c r="A561" s="2">
        <v>45216</v>
      </c>
      <c r="B561" s="3">
        <v>-8.8235040094095368E-3</v>
      </c>
      <c r="C561" s="3">
        <v>-4.798788304613872E-2</v>
      </c>
      <c r="D561" s="3">
        <v>3.6558800079517445E-3</v>
      </c>
      <c r="E561" s="3">
        <v>1.2433050803795163E-2</v>
      </c>
      <c r="F561" s="3">
        <v>-1.274291347968407E-3</v>
      </c>
      <c r="G561" s="3">
        <v>-9.8321334779938874E-5</v>
      </c>
      <c r="H561" s="3">
        <f>(Sheet1!$Y$19*' Rolling-window portfolio analy'!B561+Sheet1!$Z$19*' Rolling-window portfolio analy'!C561+Sheet1!$AA$19*' Rolling-window portfolio analy'!D561+Sheet1!$AB$19*' Rolling-window portfolio analy'!E561+Sheet1!$AC$19*' Rolling-window portfolio analy'!F561)</f>
        <v>-3.2423143466560889E-2</v>
      </c>
      <c r="I561" s="6">
        <f t="shared" si="14"/>
        <v>1.5261369906492952</v>
      </c>
      <c r="J561" s="86">
        <f t="shared" si="15"/>
        <v>-3.2452483349872997E-4</v>
      </c>
    </row>
    <row r="562" spans="1:10" x14ac:dyDescent="0.3">
      <c r="A562" s="2">
        <v>45215</v>
      </c>
      <c r="B562" s="3">
        <v>-7.2713038413612155E-4</v>
      </c>
      <c r="C562" s="3">
        <v>1.3980131578205808E-2</v>
      </c>
      <c r="D562" s="3">
        <v>1.1088344244400741E-2</v>
      </c>
      <c r="E562" s="3">
        <v>9.1403092793582823E-3</v>
      </c>
      <c r="F562" s="3">
        <v>8.6331471447028754E-3</v>
      </c>
      <c r="G562" s="3">
        <v>1.0538619453747615E-2</v>
      </c>
      <c r="H562" s="3">
        <f>(Sheet1!$Y$19*' Rolling-window portfolio analy'!B562+Sheet1!$Z$19*' Rolling-window portfolio analy'!C562+Sheet1!$AA$19*' Rolling-window portfolio analy'!D562+Sheet1!$AB$19*' Rolling-window portfolio analy'!E562+Sheet1!$AC$19*' Rolling-window portfolio analy'!F562)</f>
        <v>9.8583376773299179E-3</v>
      </c>
      <c r="I562" s="6">
        <f t="shared" si="14"/>
        <v>1.5152182838018906</v>
      </c>
      <c r="J562" s="86">
        <f t="shared" si="15"/>
        <v>-5.0553032134945802E-4</v>
      </c>
    </row>
    <row r="563" spans="1:10" x14ac:dyDescent="0.3">
      <c r="A563" s="2">
        <v>45212</v>
      </c>
      <c r="B563" s="3">
        <v>-1.0346070705045956E-2</v>
      </c>
      <c r="C563" s="3">
        <v>-3.2037371998480238E-2</v>
      </c>
      <c r="D563" s="3">
        <v>-3.0395092654627694E-2</v>
      </c>
      <c r="E563" s="3">
        <v>2.2981911867627097E-3</v>
      </c>
      <c r="F563" s="3">
        <v>-6.4205459669522662E-4</v>
      </c>
      <c r="G563" s="3">
        <v>-5.0314774496886677E-3</v>
      </c>
      <c r="H563" s="3">
        <f>(Sheet1!$Y$19*' Rolling-window portfolio analy'!B563+Sheet1!$Z$19*' Rolling-window portfolio analy'!C563+Sheet1!$AA$19*' Rolling-window portfolio analy'!D563+Sheet1!$AB$19*' Rolling-window portfolio analy'!E563+Sheet1!$AC$19*' Rolling-window portfolio analy'!F563)</f>
        <v>-2.3383046376855052E-2</v>
      </c>
      <c r="I563" s="6">
        <f t="shared" si="14"/>
        <v>1.5354179716147158</v>
      </c>
      <c r="J563" s="86">
        <f t="shared" si="15"/>
        <v>-9.0170913911739089E-4</v>
      </c>
    </row>
    <row r="564" spans="1:10" x14ac:dyDescent="0.3">
      <c r="A564" s="2">
        <v>45211</v>
      </c>
      <c r="B564" s="3">
        <v>5.0484143725527258E-3</v>
      </c>
      <c r="C564" s="3">
        <v>2.7733351108981696E-3</v>
      </c>
      <c r="D564" s="3">
        <v>-1.5790003452865065E-2</v>
      </c>
      <c r="E564" s="3">
        <v>-3.7318831886113506E-3</v>
      </c>
      <c r="F564" s="3">
        <v>-1.4338305224978859E-2</v>
      </c>
      <c r="G564" s="3">
        <v>-6.2659488852716012E-3</v>
      </c>
      <c r="H564" s="3">
        <f>(Sheet1!$Y$19*' Rolling-window portfolio analy'!B564+Sheet1!$Z$19*' Rolling-window portfolio analy'!C564+Sheet1!$AA$19*' Rolling-window portfolio analy'!D564+Sheet1!$AB$19*' Rolling-window portfolio analy'!E564+Sheet1!$AC$19*' Rolling-window portfolio analy'!F564)</f>
        <v>2.6883500919461655E-3</v>
      </c>
      <c r="I564" s="6">
        <f t="shared" si="14"/>
        <v>1.515626936240841</v>
      </c>
      <c r="J564" s="86">
        <f t="shared" si="15"/>
        <v>-8.4337293286288178E-4</v>
      </c>
    </row>
    <row r="565" spans="1:10" x14ac:dyDescent="0.3">
      <c r="A565" s="2">
        <v>45210</v>
      </c>
      <c r="B565" s="3">
        <v>7.872957274343912E-3</v>
      </c>
      <c r="C565" s="3">
        <v>2.1812764191840001E-2</v>
      </c>
      <c r="D565" s="3">
        <v>-2.3926636431288238E-3</v>
      </c>
      <c r="E565" s="3">
        <v>0</v>
      </c>
      <c r="F565" s="3">
        <v>2.2169446926340389E-3</v>
      </c>
      <c r="G565" s="3">
        <v>4.2838286545689866E-3</v>
      </c>
      <c r="H565" s="3">
        <f>(Sheet1!$Y$19*' Rolling-window portfolio analy'!B565+Sheet1!$Z$19*' Rolling-window portfolio analy'!C565+Sheet1!$AA$19*' Rolling-window portfolio analy'!D565+Sheet1!$AB$19*' Rolling-window portfolio analy'!E565+Sheet1!$AC$19*' Rolling-window portfolio analy'!F565)</f>
        <v>1.6233100883689972E-2</v>
      </c>
      <c r="I565" s="6">
        <f t="shared" si="14"/>
        <v>1.4358139645401704</v>
      </c>
      <c r="J565" s="86">
        <f t="shared" si="15"/>
        <v>-9.7089906183448068E-4</v>
      </c>
    </row>
    <row r="566" spans="1:10" x14ac:dyDescent="0.3">
      <c r="A566" s="2">
        <v>45209</v>
      </c>
      <c r="B566" s="3">
        <v>-3.3577735952325274E-3</v>
      </c>
      <c r="C566" s="3">
        <v>1.1639529672271944E-2</v>
      </c>
      <c r="D566" s="3">
        <v>1.5097078193599225E-2</v>
      </c>
      <c r="E566" s="3">
        <v>2.8694424279529607E-3</v>
      </c>
      <c r="F566" s="3">
        <v>1.469205603544564E-2</v>
      </c>
      <c r="G566" s="3">
        <v>5.1944583608864153E-3</v>
      </c>
      <c r="H566" s="3">
        <f>(Sheet1!$Y$19*' Rolling-window portfolio analy'!B566+Sheet1!$Z$19*' Rolling-window portfolio analy'!C566+Sheet1!$AA$19*' Rolling-window portfolio analy'!D566+Sheet1!$AB$19*' Rolling-window portfolio analy'!E566+Sheet1!$AC$19*' Rolling-window portfolio analy'!F566)</f>
        <v>7.084295137444325E-3</v>
      </c>
      <c r="I566" s="6">
        <f t="shared" si="14"/>
        <v>1.4346219955065249</v>
      </c>
      <c r="J566" s="86">
        <f t="shared" si="15"/>
        <v>-1.1706751655974632E-3</v>
      </c>
    </row>
    <row r="567" spans="1:10" x14ac:dyDescent="0.3">
      <c r="A567" s="2">
        <v>45208</v>
      </c>
      <c r="B567" s="3">
        <v>8.415669058153363E-3</v>
      </c>
      <c r="C567" s="3">
        <v>-1.0765785623675148E-2</v>
      </c>
      <c r="D567" s="3">
        <v>-3.3064236197276136E-3</v>
      </c>
      <c r="E567" s="3">
        <v>3.1229737706869796E-2</v>
      </c>
      <c r="F567" s="3">
        <v>5.4847693554217229E-3</v>
      </c>
      <c r="G567" s="3">
        <v>6.2840320810455159E-3</v>
      </c>
      <c r="H567" s="3">
        <f>(Sheet1!$Y$19*' Rolling-window portfolio analy'!B567+Sheet1!$Z$19*' Rolling-window portfolio analy'!C567+Sheet1!$AA$19*' Rolling-window portfolio analy'!D567+Sheet1!$AB$19*' Rolling-window portfolio analy'!E567+Sheet1!$AC$19*' Rolling-window portfolio analy'!F567)</f>
        <v>-1.9984355746845415E-3</v>
      </c>
      <c r="I567" s="6">
        <f t="shared" si="14"/>
        <v>1.4308110668386149</v>
      </c>
      <c r="J567" s="86">
        <f t="shared" si="15"/>
        <v>-1.4449726220768086E-3</v>
      </c>
    </row>
    <row r="568" spans="1:10" x14ac:dyDescent="0.3">
      <c r="A568" s="2">
        <v>45205</v>
      </c>
      <c r="B568" s="3">
        <v>1.4642713381283392E-2</v>
      </c>
      <c r="C568" s="3">
        <v>2.3660584126182247E-2</v>
      </c>
      <c r="D568" s="3">
        <v>1.8440974913664877E-3</v>
      </c>
      <c r="E568" s="3">
        <v>1.1329876711926116E-2</v>
      </c>
      <c r="F568" s="3">
        <v>1.6308254454751672E-2</v>
      </c>
      <c r="G568" s="3">
        <v>1.1745628333713317E-2</v>
      </c>
      <c r="H568" s="3">
        <f>(Sheet1!$Y$19*' Rolling-window portfolio analy'!B568+Sheet1!$Z$19*' Rolling-window portfolio analy'!C568+Sheet1!$AA$19*' Rolling-window portfolio analy'!D568+Sheet1!$AB$19*' Rolling-window portfolio analy'!E568+Sheet1!$AC$19*' Rolling-window portfolio analy'!F568)</f>
        <v>2.0208728446543221E-2</v>
      </c>
      <c r="I568" s="6">
        <f t="shared" si="14"/>
        <v>1.4535781205625757</v>
      </c>
      <c r="J568" s="86">
        <f t="shared" si="15"/>
        <v>-1.4478307736003847E-3</v>
      </c>
    </row>
    <row r="569" spans="1:10" x14ac:dyDescent="0.3">
      <c r="A569" s="2">
        <v>45204</v>
      </c>
      <c r="B569" s="3">
        <v>7.1721912864727306E-3</v>
      </c>
      <c r="C569" s="3">
        <v>1.4651451090880891E-2</v>
      </c>
      <c r="D569" s="3">
        <v>-4.2593260993512554E-3</v>
      </c>
      <c r="E569" s="3">
        <v>6.316760363215961E-3</v>
      </c>
      <c r="F569" s="3">
        <v>-1.436524866212364E-2</v>
      </c>
      <c r="G569" s="3">
        <v>-1.3048673867472557E-3</v>
      </c>
      <c r="H569" s="3">
        <f>(Sheet1!$Y$19*' Rolling-window portfolio analy'!B569+Sheet1!$Z$19*' Rolling-window portfolio analy'!C569+Sheet1!$AA$19*' Rolling-window portfolio analy'!D569+Sheet1!$AB$19*' Rolling-window portfolio analy'!E569+Sheet1!$AC$19*' Rolling-window portfolio analy'!F569)</f>
        <v>1.1966556474014848E-2</v>
      </c>
      <c r="I569" s="6">
        <f t="shared" si="14"/>
        <v>1.3980400671878481</v>
      </c>
      <c r="J569" s="86">
        <f t="shared" si="15"/>
        <v>-7.9515122447507266E-4</v>
      </c>
    </row>
    <row r="570" spans="1:10" x14ac:dyDescent="0.3">
      <c r="A570" s="2">
        <v>45203</v>
      </c>
      <c r="B570" s="3">
        <v>7.2820064029063027E-3</v>
      </c>
      <c r="C570" s="3">
        <v>1.187770930679204E-2</v>
      </c>
      <c r="D570" s="3">
        <v>5.7649556387045921E-2</v>
      </c>
      <c r="E570" s="3">
        <v>-4.1087499403484107E-2</v>
      </c>
      <c r="F570" s="3">
        <v>2.596561017446433E-3</v>
      </c>
      <c r="G570" s="3">
        <v>8.0770937870001339E-3</v>
      </c>
      <c r="H570" s="3">
        <f>(Sheet1!$Y$19*' Rolling-window portfolio analy'!B570+Sheet1!$Z$19*' Rolling-window portfolio analy'!C570+Sheet1!$AA$19*' Rolling-window portfolio analy'!D570+Sheet1!$AB$19*' Rolling-window portfolio analy'!E570+Sheet1!$AC$19*' Rolling-window portfolio analy'!F570)</f>
        <v>5.7935316740639221E-3</v>
      </c>
      <c r="I570" s="6">
        <f t="shared" si="14"/>
        <v>1.3946116093617742</v>
      </c>
      <c r="J570" s="86">
        <f t="shared" si="15"/>
        <v>-9.2222948046586381E-4</v>
      </c>
    </row>
    <row r="571" spans="1:10" x14ac:dyDescent="0.3">
      <c r="A571" s="2">
        <v>45202</v>
      </c>
      <c r="B571" s="3">
        <v>-7.800126215308751E-3</v>
      </c>
      <c r="C571" s="3">
        <v>-2.8541008622921499E-2</v>
      </c>
      <c r="D571" s="3">
        <v>-2.0356834894898496E-2</v>
      </c>
      <c r="E571" s="3">
        <v>-8.684325339539295E-4</v>
      </c>
      <c r="F571" s="3">
        <v>7.5028895434641023E-3</v>
      </c>
      <c r="G571" s="3">
        <v>-1.3839410161483797E-2</v>
      </c>
      <c r="H571" s="3">
        <f>(Sheet1!$Y$19*' Rolling-window portfolio analy'!B571+Sheet1!$Z$19*' Rolling-window portfolio analy'!C571+Sheet1!$AA$19*' Rolling-window portfolio analy'!D571+Sheet1!$AB$19*' Rolling-window portfolio analy'!E571+Sheet1!$AC$19*' Rolling-window portfolio analy'!F571)</f>
        <v>-2.0743227029977825E-2</v>
      </c>
      <c r="I571" s="6">
        <f t="shared" si="14"/>
        <v>1.3971979357608837</v>
      </c>
      <c r="J571" s="86">
        <f t="shared" si="15"/>
        <v>-9.5890052985811371E-4</v>
      </c>
    </row>
    <row r="572" spans="1:10" x14ac:dyDescent="0.3">
      <c r="A572" s="2">
        <v>45201</v>
      </c>
      <c r="B572" s="3">
        <v>1.472661122817496E-2</v>
      </c>
      <c r="C572" s="3">
        <v>2.9000673075970401E-2</v>
      </c>
      <c r="D572" s="3">
        <v>5.4999939370314896E-3</v>
      </c>
      <c r="E572" s="3">
        <v>-2.1752431799904333E-2</v>
      </c>
      <c r="F572" s="3">
        <v>-6.8526944620405069E-3</v>
      </c>
      <c r="G572" s="3">
        <v>7.9286976922361474E-5</v>
      </c>
      <c r="H572" s="3">
        <f>(Sheet1!$Y$19*' Rolling-window portfolio analy'!B572+Sheet1!$Z$19*' Rolling-window portfolio analy'!C572+Sheet1!$AA$19*' Rolling-window portfolio analy'!D572+Sheet1!$AB$19*' Rolling-window portfolio analy'!E572+Sheet1!$AC$19*' Rolling-window portfolio analy'!F572)</f>
        <v>2.0593861387935394E-2</v>
      </c>
      <c r="I572" s="6">
        <f t="shared" si="14"/>
        <v>1.3869919221307854</v>
      </c>
      <c r="J572" s="86">
        <f t="shared" si="15"/>
        <v>-5.8800280755586247E-4</v>
      </c>
    </row>
    <row r="573" spans="1:10" x14ac:dyDescent="0.3">
      <c r="A573" s="2">
        <v>45198</v>
      </c>
      <c r="B573" s="3">
        <v>3.0418274404849423E-3</v>
      </c>
      <c r="C573" s="3">
        <v>9.4699864668916084E-3</v>
      </c>
      <c r="D573" s="3">
        <v>1.54654713554259E-2</v>
      </c>
      <c r="E573" s="3">
        <v>-3.5325603295356271E-2</v>
      </c>
      <c r="F573" s="3">
        <v>5.8708583497838274E-3</v>
      </c>
      <c r="G573" s="3">
        <v>-2.7131686755154211E-3</v>
      </c>
      <c r="H573" s="3">
        <f>(Sheet1!$Y$19*' Rolling-window portfolio analy'!B573+Sheet1!$Z$19*' Rolling-window portfolio analy'!C573+Sheet1!$AA$19*' Rolling-window portfolio analy'!D573+Sheet1!$AB$19*' Rolling-window portfolio analy'!E573+Sheet1!$AC$19*' Rolling-window portfolio analy'!F573)</f>
        <v>3.6329447387177601E-3</v>
      </c>
      <c r="I573" s="6">
        <f t="shared" si="14"/>
        <v>1.3758520536909109</v>
      </c>
      <c r="J573" s="86">
        <f t="shared" si="15"/>
        <v>-4.693034970990669E-4</v>
      </c>
    </row>
    <row r="574" spans="1:10" x14ac:dyDescent="0.3">
      <c r="A574" s="2">
        <v>45197</v>
      </c>
      <c r="B574" s="3">
        <v>1.5243905390963399E-3</v>
      </c>
      <c r="C574" s="3">
        <v>1.4493007302567043E-2</v>
      </c>
      <c r="D574" s="3">
        <v>2.4154969988012188E-2</v>
      </c>
      <c r="E574" s="3">
        <v>9.3355977304317127E-3</v>
      </c>
      <c r="F574" s="3">
        <v>9.5317073334951399E-3</v>
      </c>
      <c r="G574" s="3">
        <v>5.8757768874731896E-3</v>
      </c>
      <c r="H574" s="3">
        <f>(Sheet1!$Y$19*' Rolling-window portfolio analy'!B574+Sheet1!$Z$19*' Rolling-window portfolio analy'!C574+Sheet1!$AA$19*' Rolling-window portfolio analy'!D574+Sheet1!$AB$19*' Rolling-window portfolio analy'!E574+Sheet1!$AC$19*' Rolling-window portfolio analy'!F574)</f>
        <v>1.0796225743506065E-2</v>
      </c>
      <c r="I574" s="6">
        <f t="shared" si="14"/>
        <v>1.3794162826633156</v>
      </c>
      <c r="J574" s="86">
        <f t="shared" si="15"/>
        <v>-3.3644916150545306E-4</v>
      </c>
    </row>
    <row r="575" spans="1:10" x14ac:dyDescent="0.3">
      <c r="A575" s="2">
        <v>45196</v>
      </c>
      <c r="B575" s="3">
        <v>-8.9372363909355351E-3</v>
      </c>
      <c r="C575" s="3">
        <v>1.3273482388199682E-2</v>
      </c>
      <c r="D575" s="3">
        <v>-1.4939818130478311E-2</v>
      </c>
      <c r="E575" s="3">
        <v>1.5008619694326658E-2</v>
      </c>
      <c r="F575" s="3">
        <v>-1.1165961660289693E-2</v>
      </c>
      <c r="G575" s="3">
        <v>2.2929233000634007E-4</v>
      </c>
      <c r="H575" s="3">
        <f>(Sheet1!$Y$19*' Rolling-window portfolio analy'!B575+Sheet1!$Z$19*' Rolling-window portfolio analy'!C575+Sheet1!$AA$19*' Rolling-window portfolio analy'!D575+Sheet1!$AB$19*' Rolling-window portfolio analy'!E575+Sheet1!$AC$19*' Rolling-window portfolio analy'!F575)</f>
        <v>7.8634908431836816E-3</v>
      </c>
      <c r="I575" s="6">
        <f t="shared" ref="I575:I638" si="16">SLOPE(H516:H575,G516:G575)</f>
        <v>1.3812359566914663</v>
      </c>
      <c r="J575" s="86">
        <f t="shared" ref="J575:J638" si="17">AVERAGE(H516:H575)-($N$1+I575*(AVERAGE(G516:G575)-$N$1))</f>
        <v>-1.7355099863218581E-4</v>
      </c>
    </row>
    <row r="576" spans="1:10" x14ac:dyDescent="0.3">
      <c r="A576" s="2">
        <v>45195</v>
      </c>
      <c r="B576" s="3">
        <v>-2.3676545590125463E-2</v>
      </c>
      <c r="C576" s="3">
        <v>-7.3695804831944555E-3</v>
      </c>
      <c r="D576" s="3">
        <v>-1.1687942302150128E-2</v>
      </c>
      <c r="E576" s="3">
        <v>-5.3065338878760769E-3</v>
      </c>
      <c r="F576" s="3">
        <v>-1.7160855003924325E-2</v>
      </c>
      <c r="G576" s="3">
        <v>-1.4844128717961364E-2</v>
      </c>
      <c r="H576" s="3">
        <f>(Sheet1!$Y$19*' Rolling-window portfolio analy'!B576+Sheet1!$Z$19*' Rolling-window portfolio analy'!C576+Sheet1!$AA$19*' Rolling-window portfolio analy'!D576+Sheet1!$AB$19*' Rolling-window portfolio analy'!E576+Sheet1!$AC$19*' Rolling-window portfolio analy'!F576)</f>
        <v>-1.1236968128204641E-2</v>
      </c>
      <c r="I576" s="6">
        <f t="shared" si="16"/>
        <v>1.327471875871127</v>
      </c>
      <c r="J576" s="86">
        <f t="shared" si="17"/>
        <v>9.7093046973103277E-5</v>
      </c>
    </row>
    <row r="577" spans="1:10" x14ac:dyDescent="0.3">
      <c r="A577" s="2">
        <v>45194</v>
      </c>
      <c r="B577" s="3">
        <v>7.3531838712111624E-3</v>
      </c>
      <c r="C577" s="3">
        <v>1.4553519425324693E-2</v>
      </c>
      <c r="D577" s="3">
        <v>8.5795553412872563E-3</v>
      </c>
      <c r="E577" s="3">
        <v>1.4025475354504458E-2</v>
      </c>
      <c r="F577" s="3">
        <v>-1.603849581974516E-3</v>
      </c>
      <c r="G577" s="3">
        <v>4.0150212758186272E-3</v>
      </c>
      <c r="H577" s="3">
        <f>(Sheet1!$Y$19*' Rolling-window portfolio analy'!B577+Sheet1!$Z$19*' Rolling-window portfolio analy'!C577+Sheet1!$AA$19*' Rolling-window portfolio analy'!D577+Sheet1!$AB$19*' Rolling-window portfolio analy'!E577+Sheet1!$AC$19*' Rolling-window portfolio analy'!F577)</f>
        <v>1.2701995851323878E-2</v>
      </c>
      <c r="I577" s="6">
        <f t="shared" si="16"/>
        <v>1.348019458222447</v>
      </c>
      <c r="J577" s="86">
        <f t="shared" si="17"/>
        <v>4.0317182725423811E-4</v>
      </c>
    </row>
    <row r="578" spans="1:10" x14ac:dyDescent="0.3">
      <c r="A578" s="2">
        <v>45191</v>
      </c>
      <c r="B578" s="3">
        <v>4.9323339269332096E-3</v>
      </c>
      <c r="C578" s="3">
        <v>1.4280770350615306E-2</v>
      </c>
      <c r="D578" s="3">
        <v>-4.3236587659983838E-2</v>
      </c>
      <c r="E578" s="3">
        <v>9.6509406466403023E-3</v>
      </c>
      <c r="F578" s="3">
        <v>5.7859370670439265E-3</v>
      </c>
      <c r="G578" s="3">
        <v>-2.2982509659402743E-3</v>
      </c>
      <c r="H578" s="3">
        <f>(Sheet1!$Y$19*' Rolling-window portfolio analy'!B578+Sheet1!$Z$19*' Rolling-window portfolio analy'!C578+Sheet1!$AA$19*' Rolling-window portfolio analy'!D578+Sheet1!$AB$19*' Rolling-window portfolio analy'!E578+Sheet1!$AC$19*' Rolling-window portfolio analy'!F578)</f>
        <v>1.1412471052457291E-2</v>
      </c>
      <c r="I578" s="6">
        <f t="shared" si="16"/>
        <v>1.3257257367095128</v>
      </c>
      <c r="J578" s="86">
        <f t="shared" si="17"/>
        <v>5.2519926520737826E-4</v>
      </c>
    </row>
    <row r="579" spans="1:10" x14ac:dyDescent="0.3">
      <c r="A579" s="2">
        <v>45190</v>
      </c>
      <c r="B579" s="3">
        <v>-8.9291418054534399E-3</v>
      </c>
      <c r="C579" s="3">
        <v>-2.9307886753771412E-2</v>
      </c>
      <c r="D579" s="3">
        <v>-2.6588998115315374E-2</v>
      </c>
      <c r="E579" s="3">
        <v>-2.0887013913566073E-2</v>
      </c>
      <c r="F579" s="3">
        <v>-9.3053775899215874E-3</v>
      </c>
      <c r="G579" s="3">
        <v>-1.653687395146802E-2</v>
      </c>
      <c r="H579" s="3">
        <f>(Sheet1!$Y$19*' Rolling-window portfolio analy'!B579+Sheet1!$Z$19*' Rolling-window portfolio analy'!C579+Sheet1!$AA$19*' Rolling-window portfolio analy'!D579+Sheet1!$AB$19*' Rolling-window portfolio analy'!E579+Sheet1!$AC$19*' Rolling-window portfolio analy'!F579)</f>
        <v>-2.3436305986553854E-2</v>
      </c>
      <c r="I579" s="6">
        <f t="shared" si="16"/>
        <v>1.3368372768286232</v>
      </c>
      <c r="J579" s="86">
        <f t="shared" si="17"/>
        <v>3.7514171111286852E-4</v>
      </c>
    </row>
    <row r="580" spans="1:10" x14ac:dyDescent="0.3">
      <c r="A580" s="2">
        <v>45189</v>
      </c>
      <c r="B580" s="3">
        <v>-2.0194729623152739E-2</v>
      </c>
      <c r="C580" s="3">
        <v>-2.985296314968116E-2</v>
      </c>
      <c r="D580" s="3">
        <v>-1.4780363193443006E-2</v>
      </c>
      <c r="E580" s="3">
        <v>-1.0558586560494517E-2</v>
      </c>
      <c r="F580" s="3">
        <v>1.2857779194289426E-2</v>
      </c>
      <c r="G580" s="3">
        <v>-9.4392046231101256E-3</v>
      </c>
      <c r="H580" s="3">
        <f>(Sheet1!$Y$19*' Rolling-window portfolio analy'!B580+Sheet1!$Z$19*' Rolling-window portfolio analy'!C580+Sheet1!$AA$19*' Rolling-window portfolio analy'!D580+Sheet1!$AB$19*' Rolling-window portfolio analy'!E580+Sheet1!$AC$19*' Rolling-window portfolio analy'!F580)</f>
        <v>-2.5593512351073513E-2</v>
      </c>
      <c r="I580" s="6">
        <f t="shared" si="16"/>
        <v>1.3704759157850064</v>
      </c>
      <c r="J580" s="86">
        <f t="shared" si="17"/>
        <v>8.2573677899763732E-5</v>
      </c>
    </row>
    <row r="581" spans="1:10" x14ac:dyDescent="0.3">
      <c r="A581" s="2">
        <v>45188</v>
      </c>
      <c r="B581" s="3">
        <v>6.1617940867738823E-3</v>
      </c>
      <c r="C581" s="3">
        <v>-1.0286980645031514E-2</v>
      </c>
      <c r="D581" s="3">
        <v>4.5883716589692498E-3</v>
      </c>
      <c r="E581" s="3">
        <v>-7.7092892833679726E-3</v>
      </c>
      <c r="F581" s="3">
        <v>-6.1280630411635817E-3</v>
      </c>
      <c r="G581" s="3">
        <v>-2.1534195529618974E-3</v>
      </c>
      <c r="H581" s="3">
        <f>(Sheet1!$Y$19*' Rolling-window portfolio analy'!B581+Sheet1!$Z$19*' Rolling-window portfolio analy'!C581+Sheet1!$AA$19*' Rolling-window portfolio analy'!D581+Sheet1!$AB$19*' Rolling-window portfolio analy'!E581+Sheet1!$AC$19*' Rolling-window portfolio analy'!F581)</f>
        <v>-5.9249563763365369E-3</v>
      </c>
      <c r="I581" s="6">
        <f t="shared" si="16"/>
        <v>1.3986530262252077</v>
      </c>
      <c r="J581" s="86">
        <f t="shared" si="17"/>
        <v>1.4606916945234774E-4</v>
      </c>
    </row>
    <row r="582" spans="1:10" x14ac:dyDescent="0.3">
      <c r="A582" s="2">
        <v>45187</v>
      </c>
      <c r="B582" s="3">
        <v>1.6771881613828182E-2</v>
      </c>
      <c r="C582" s="3">
        <v>1.5932631115930949E-3</v>
      </c>
      <c r="D582" s="3">
        <v>-3.3764580092044333E-2</v>
      </c>
      <c r="E582" s="3">
        <v>8.26223372654134E-3</v>
      </c>
      <c r="F582" s="3">
        <v>8.0710688337917204E-3</v>
      </c>
      <c r="G582" s="3">
        <v>7.2103643683838804E-4</v>
      </c>
      <c r="H582" s="3">
        <f>(Sheet1!$Y$19*' Rolling-window portfolio analy'!B582+Sheet1!$Z$19*' Rolling-window portfolio analy'!C582+Sheet1!$AA$19*' Rolling-window portfolio analy'!D582+Sheet1!$AB$19*' Rolling-window portfolio analy'!E582+Sheet1!$AC$19*' Rolling-window portfolio analy'!F582)</f>
        <v>5.9364176683867264E-3</v>
      </c>
      <c r="I582" s="6">
        <f t="shared" si="16"/>
        <v>1.3892831400946335</v>
      </c>
      <c r="J582" s="86">
        <f t="shared" si="17"/>
        <v>7.9106834518323488E-5</v>
      </c>
    </row>
    <row r="583" spans="1:10" x14ac:dyDescent="0.3">
      <c r="A583" s="2">
        <v>45184</v>
      </c>
      <c r="B583" s="3">
        <v>-4.1625149196311386E-3</v>
      </c>
      <c r="C583" s="3">
        <v>-3.7554703736412537E-2</v>
      </c>
      <c r="D583" s="3">
        <v>-5.9953307134267978E-3</v>
      </c>
      <c r="E583" s="3">
        <v>-1.4278111864288392E-2</v>
      </c>
      <c r="F583" s="3">
        <v>-6.139944963621159E-3</v>
      </c>
      <c r="G583" s="3">
        <v>-1.2234084667107637E-2</v>
      </c>
      <c r="H583" s="3">
        <f>(Sheet1!$Y$19*' Rolling-window portfolio analy'!B583+Sheet1!$Z$19*' Rolling-window portfolio analy'!C583+Sheet1!$AA$19*' Rolling-window portfolio analy'!D583+Sheet1!$AB$19*' Rolling-window portfolio analy'!E583+Sheet1!$AC$19*' Rolling-window portfolio analy'!F583)</f>
        <v>-2.6985374525444607E-2</v>
      </c>
      <c r="I583" s="6">
        <f t="shared" si="16"/>
        <v>1.4392250419832353</v>
      </c>
      <c r="J583" s="86">
        <f t="shared" si="17"/>
        <v>2.384298235543796E-4</v>
      </c>
    </row>
    <row r="584" spans="1:10" x14ac:dyDescent="0.3">
      <c r="A584" s="2">
        <v>45183</v>
      </c>
      <c r="B584" s="3">
        <v>8.7441620156289389E-3</v>
      </c>
      <c r="C584" s="3">
        <v>1.9765022356254902E-3</v>
      </c>
      <c r="D584" s="3">
        <v>1.7320563087515017E-2</v>
      </c>
      <c r="E584" s="3">
        <v>1.2068166213485471E-2</v>
      </c>
      <c r="F584" s="3">
        <v>1.7550011701652019E-2</v>
      </c>
      <c r="G584" s="3">
        <v>8.394550741111827E-3</v>
      </c>
      <c r="H584" s="3">
        <f>(Sheet1!$Y$19*' Rolling-window portfolio analy'!B584+Sheet1!$Z$19*' Rolling-window portfolio analy'!C584+Sheet1!$AA$19*' Rolling-window portfolio analy'!D584+Sheet1!$AB$19*' Rolling-window portfolio analy'!E584+Sheet1!$AC$19*' Rolling-window portfolio analy'!F584)</f>
        <v>4.6446330756952821E-3</v>
      </c>
      <c r="I584" s="6">
        <f t="shared" si="16"/>
        <v>1.415048212356012</v>
      </c>
      <c r="J584" s="86">
        <f t="shared" si="17"/>
        <v>-4.7818520897224587E-5</v>
      </c>
    </row>
    <row r="585" spans="1:10" x14ac:dyDescent="0.3">
      <c r="A585" s="2">
        <v>45182</v>
      </c>
      <c r="B585" s="3">
        <v>-1.1925621351756389E-2</v>
      </c>
      <c r="C585" s="3">
        <v>1.3723101594020877E-2</v>
      </c>
      <c r="D585" s="3">
        <v>1.418042247910826E-2</v>
      </c>
      <c r="E585" s="3">
        <v>-2.3453488438610903E-2</v>
      </c>
      <c r="F585" s="3">
        <v>-2.9464745494461072E-3</v>
      </c>
      <c r="G585" s="3">
        <v>1.2408533465711885E-3</v>
      </c>
      <c r="H585" s="3">
        <f>(Sheet1!$Y$19*' Rolling-window portfolio analy'!B585+Sheet1!$Z$19*' Rolling-window portfolio analy'!C585+Sheet1!$AA$19*' Rolling-window portfolio analy'!D585+Sheet1!$AB$19*' Rolling-window portfolio analy'!E585+Sheet1!$AC$19*' Rolling-window portfolio analy'!F585)</f>
        <v>3.8189404780689298E-3</v>
      </c>
      <c r="I585" s="6">
        <f t="shared" si="16"/>
        <v>1.4027129725367005</v>
      </c>
      <c r="J585" s="86">
        <f t="shared" si="17"/>
        <v>-1.2063992239967695E-4</v>
      </c>
    </row>
    <row r="586" spans="1:10" x14ac:dyDescent="0.3">
      <c r="A586" s="2">
        <v>45181</v>
      </c>
      <c r="B586" s="3">
        <v>-1.7207869920025237E-2</v>
      </c>
      <c r="C586" s="3">
        <v>-6.8850910519652649E-3</v>
      </c>
      <c r="D586" s="3">
        <v>-2.2549286475520292E-2</v>
      </c>
      <c r="E586" s="3">
        <v>9.7508898264097588E-3</v>
      </c>
      <c r="F586" s="3">
        <v>1.3493704823109255E-2</v>
      </c>
      <c r="G586" s="3">
        <v>-5.7121558411206055E-3</v>
      </c>
      <c r="H586" s="3">
        <f>(Sheet1!$Y$19*' Rolling-window portfolio analy'!B586+Sheet1!$Z$19*' Rolling-window portfolio analy'!C586+Sheet1!$AA$19*' Rolling-window portfolio analy'!D586+Sheet1!$AB$19*' Rolling-window portfolio analy'!E586+Sheet1!$AC$19*' Rolling-window portfolio analy'!F586)</f>
        <v>-7.9024935463332304E-3</v>
      </c>
      <c r="I586" s="6">
        <f t="shared" si="16"/>
        <v>1.3877394200539772</v>
      </c>
      <c r="J586" s="86">
        <f t="shared" si="17"/>
        <v>1.1482843202998929E-4</v>
      </c>
    </row>
    <row r="587" spans="1:10" x14ac:dyDescent="0.3">
      <c r="A587" s="2">
        <v>45180</v>
      </c>
      <c r="B587" s="3">
        <v>6.6006840313520927E-3</v>
      </c>
      <c r="C587" s="3">
        <v>-8.5950942359339314E-3</v>
      </c>
      <c r="D587" s="3">
        <v>9.6151238124614707E-2</v>
      </c>
      <c r="E587" s="3">
        <v>-5.6995676072312583E-3</v>
      </c>
      <c r="F587" s="3">
        <v>7.650128778244409E-3</v>
      </c>
      <c r="G587" s="3">
        <v>6.7010127829867268E-3</v>
      </c>
      <c r="H587" s="3">
        <f>(Sheet1!$Y$19*' Rolling-window portfolio analy'!B587+Sheet1!$Z$19*' Rolling-window portfolio analy'!C587+Sheet1!$AA$19*' Rolling-window portfolio analy'!D587+Sheet1!$AB$19*' Rolling-window portfolio analy'!E587+Sheet1!$AC$19*' Rolling-window portfolio analy'!F587)</f>
        <v>-4.3515233151228336E-3</v>
      </c>
      <c r="I587" s="6">
        <f t="shared" si="16"/>
        <v>1.3707528552365806</v>
      </c>
      <c r="J587" s="86">
        <f t="shared" si="17"/>
        <v>-4.143943416132152E-4</v>
      </c>
    </row>
    <row r="588" spans="1:10" x14ac:dyDescent="0.3">
      <c r="A588" s="2">
        <v>45177</v>
      </c>
      <c r="B588" s="3">
        <v>3.4856953266633552E-3</v>
      </c>
      <c r="C588" s="3">
        <v>-1.4595619088330864E-2</v>
      </c>
      <c r="D588" s="3">
        <v>-1.196038178119233E-2</v>
      </c>
      <c r="E588" s="3">
        <v>-6.743113884890085E-3</v>
      </c>
      <c r="F588" s="3">
        <v>1.5478101734273516E-2</v>
      </c>
      <c r="G588" s="3">
        <v>1.4255841976643817E-3</v>
      </c>
      <c r="H588" s="3">
        <f>(Sheet1!$Y$19*' Rolling-window portfolio analy'!B588+Sheet1!$Z$19*' Rolling-window portfolio analy'!C588+Sheet1!$AA$19*' Rolling-window portfolio analy'!D588+Sheet1!$AB$19*' Rolling-window portfolio analy'!E588+Sheet1!$AC$19*' Rolling-window portfolio analy'!F588)</f>
        <v>-9.3494370179398011E-3</v>
      </c>
      <c r="I588" s="6">
        <f t="shared" si="16"/>
        <v>1.3498545314733197</v>
      </c>
      <c r="J588" s="86">
        <f t="shared" si="17"/>
        <v>-3.8164454485645758E-4</v>
      </c>
    </row>
    <row r="589" spans="1:10" x14ac:dyDescent="0.3">
      <c r="A589" s="2">
        <v>45176</v>
      </c>
      <c r="B589" s="3">
        <v>-2.9685648621999895E-2</v>
      </c>
      <c r="C589" s="3">
        <v>-1.7578158935094391E-2</v>
      </c>
      <c r="D589" s="3">
        <v>-1.7083494748933784E-3</v>
      </c>
      <c r="E589" s="3">
        <v>-5.3748993500372759E-4</v>
      </c>
      <c r="F589" s="3">
        <v>-8.1054141828214542E-3</v>
      </c>
      <c r="G589" s="3">
        <v>-3.2164682050081963E-3</v>
      </c>
      <c r="H589" s="3">
        <f>(Sheet1!$Y$19*' Rolling-window portfolio analy'!B589+Sheet1!$Z$19*' Rolling-window portfolio analy'!C589+Sheet1!$AA$19*' Rolling-window portfolio analy'!D589+Sheet1!$AB$19*' Rolling-window portfolio analy'!E589+Sheet1!$AC$19*' Rolling-window portfolio analy'!F589)</f>
        <v>-1.8943806868431948E-2</v>
      </c>
      <c r="I589" s="6">
        <f t="shared" si="16"/>
        <v>1.3707571775691387</v>
      </c>
      <c r="J589" s="86">
        <f t="shared" si="17"/>
        <v>-5.2522980654017731E-4</v>
      </c>
    </row>
    <row r="590" spans="1:10" x14ac:dyDescent="0.3">
      <c r="A590" s="2">
        <v>45175</v>
      </c>
      <c r="B590" s="3">
        <v>-3.6449648353134058E-2</v>
      </c>
      <c r="C590" s="3">
        <v>-3.1170811438117344E-2</v>
      </c>
      <c r="D590" s="3">
        <v>-1.7978100703291561E-2</v>
      </c>
      <c r="E590" s="3">
        <v>4.038234051463827E-3</v>
      </c>
      <c r="F590" s="3">
        <v>-6.3705160962701781E-3</v>
      </c>
      <c r="G590" s="3">
        <v>-6.9959927442528732E-3</v>
      </c>
      <c r="H590" s="3">
        <f>(Sheet1!$Y$19*' Rolling-window portfolio analy'!B590+Sheet1!$Z$19*' Rolling-window portfolio analy'!C590+Sheet1!$AA$19*' Rolling-window portfolio analy'!D590+Sheet1!$AB$19*' Rolling-window portfolio analy'!E590+Sheet1!$AC$19*' Rolling-window portfolio analy'!F590)</f>
        <v>-2.9119681343664144E-2</v>
      </c>
      <c r="I590" s="6">
        <f t="shared" si="16"/>
        <v>1.4241293085134878</v>
      </c>
      <c r="J590" s="86">
        <f t="shared" si="17"/>
        <v>-4.8293544441973971E-4</v>
      </c>
    </row>
    <row r="591" spans="1:10" x14ac:dyDescent="0.3">
      <c r="A591" s="2">
        <v>45174</v>
      </c>
      <c r="B591" s="3">
        <v>1.2659564935798922E-3</v>
      </c>
      <c r="C591" s="3">
        <v>8.2423248020876321E-4</v>
      </c>
      <c r="D591" s="3">
        <v>4.5790651457766743E-2</v>
      </c>
      <c r="E591" s="3">
        <v>7.0384697717111354E-3</v>
      </c>
      <c r="F591" s="3">
        <v>-2.3452767738407342E-2</v>
      </c>
      <c r="G591" s="3">
        <v>-4.203010869610265E-3</v>
      </c>
      <c r="H591" s="3">
        <f>(Sheet1!$Y$19*' Rolling-window portfolio analy'!B591+Sheet1!$Z$19*' Rolling-window portfolio analy'!C591+Sheet1!$AA$19*' Rolling-window portfolio analy'!D591+Sheet1!$AB$19*' Rolling-window portfolio analy'!E591+Sheet1!$AC$19*' Rolling-window portfolio analy'!F591)</f>
        <v>1.6051224466757169E-3</v>
      </c>
      <c r="I591" s="6">
        <f t="shared" si="16"/>
        <v>1.4162867387721156</v>
      </c>
      <c r="J591" s="86">
        <f t="shared" si="17"/>
        <v>-4.0639158733711501E-4</v>
      </c>
    </row>
    <row r="592" spans="1:10" x14ac:dyDescent="0.3">
      <c r="A592" s="2">
        <v>45170</v>
      </c>
      <c r="B592" s="3">
        <v>8.427686168180834E-3</v>
      </c>
      <c r="C592" s="3">
        <v>-1.7167803622365446E-2</v>
      </c>
      <c r="D592" s="3">
        <v>-5.1970588338604698E-2</v>
      </c>
      <c r="E592" s="3">
        <v>1.6986709815278819E-2</v>
      </c>
      <c r="F592" s="3">
        <v>1.4137996463859919E-2</v>
      </c>
      <c r="G592" s="3">
        <v>1.7975431036151848E-3</v>
      </c>
      <c r="H592" s="3">
        <f>(Sheet1!$Y$19*' Rolling-window portfolio analy'!B592+Sheet1!$Z$19*' Rolling-window portfolio analy'!C592+Sheet1!$AA$19*' Rolling-window portfolio analy'!D592+Sheet1!$AB$19*' Rolling-window portfolio analy'!E592+Sheet1!$AC$19*' Rolling-window portfolio analy'!F592)</f>
        <v>-7.6258479452802411E-3</v>
      </c>
      <c r="I592" s="6">
        <f t="shared" si="16"/>
        <v>1.4135954422458983</v>
      </c>
      <c r="J592" s="86">
        <f t="shared" si="17"/>
        <v>-4.6502934976597329E-4</v>
      </c>
    </row>
    <row r="593" spans="1:10" x14ac:dyDescent="0.3">
      <c r="A593" s="2">
        <v>45169</v>
      </c>
      <c r="B593" s="3">
        <v>1.1717086981777867E-3</v>
      </c>
      <c r="C593" s="3">
        <v>1.8253731870987808E-3</v>
      </c>
      <c r="D593" s="3">
        <v>4.5827102610608269E-3</v>
      </c>
      <c r="E593" s="3">
        <v>3.8759738446929397E-3</v>
      </c>
      <c r="F593" s="3">
        <v>-1.7397451761569378E-2</v>
      </c>
      <c r="G593" s="3">
        <v>-1.5982216816604765E-3</v>
      </c>
      <c r="H593" s="3">
        <f>(Sheet1!$Y$19*' Rolling-window portfolio analy'!B593+Sheet1!$Z$19*' Rolling-window portfolio analy'!C593+Sheet1!$AA$19*' Rolling-window portfolio analy'!D593+Sheet1!$AB$19*' Rolling-window portfolio analy'!E593+Sheet1!$AC$19*' Rolling-window portfolio analy'!F593)</f>
        <v>1.8623406097388875E-3</v>
      </c>
      <c r="I593" s="6">
        <f t="shared" si="16"/>
        <v>1.4165972094267001</v>
      </c>
      <c r="J593" s="86">
        <f t="shared" si="17"/>
        <v>-5.468515316338795E-4</v>
      </c>
    </row>
    <row r="594" spans="1:10" x14ac:dyDescent="0.3">
      <c r="A594" s="2">
        <v>45168</v>
      </c>
      <c r="B594" s="3">
        <v>1.8990806631989123E-2</v>
      </c>
      <c r="C594" s="3">
        <v>9.7919999046174981E-3</v>
      </c>
      <c r="D594" s="3">
        <v>-1.0893247264551046E-3</v>
      </c>
      <c r="E594" s="3">
        <v>-1.3860016078772516E-3</v>
      </c>
      <c r="F594" s="3">
        <v>-6.5061811013355294E-4</v>
      </c>
      <c r="G594" s="3">
        <v>3.8258021699069606E-3</v>
      </c>
      <c r="H594" s="3">
        <f>(Sheet1!$Y$19*' Rolling-window portfolio analy'!B594+Sheet1!$Z$19*' Rolling-window portfolio analy'!C594+Sheet1!$AA$19*' Rolling-window portfolio analy'!D594+Sheet1!$AB$19*' Rolling-window portfolio analy'!E594+Sheet1!$AC$19*' Rolling-window portfolio analy'!F594)</f>
        <v>1.0999493784549286E-2</v>
      </c>
      <c r="I594" s="6">
        <f t="shared" si="16"/>
        <v>1.4234413188502373</v>
      </c>
      <c r="J594" s="86">
        <f t="shared" si="17"/>
        <v>-2.1314055862269591E-4</v>
      </c>
    </row>
    <row r="595" spans="1:10" x14ac:dyDescent="0.3">
      <c r="A595" s="2">
        <v>45167</v>
      </c>
      <c r="B595" s="3">
        <v>2.1575869210317872E-2</v>
      </c>
      <c r="C595" s="3">
        <v>4.07963695923238E-2</v>
      </c>
      <c r="D595" s="3">
        <v>7.4066098737054442E-2</v>
      </c>
      <c r="E595" s="3">
        <v>2.7739268827252244E-3</v>
      </c>
      <c r="F595" s="3">
        <v>-3.570852682487849E-3</v>
      </c>
      <c r="G595" s="3">
        <v>1.4404107984150809E-2</v>
      </c>
      <c r="H595" s="3">
        <f>(Sheet1!$Y$19*' Rolling-window portfolio analy'!B595+Sheet1!$Z$19*' Rolling-window portfolio analy'!C595+Sheet1!$AA$19*' Rolling-window portfolio analy'!D595+Sheet1!$AB$19*' Rolling-window portfolio analy'!E595+Sheet1!$AC$19*' Rolling-window portfolio analy'!F595)</f>
        <v>3.247006703295581E-2</v>
      </c>
      <c r="I595" s="6">
        <f t="shared" si="16"/>
        <v>1.4830473083765372</v>
      </c>
      <c r="J595" s="86">
        <f t="shared" si="17"/>
        <v>3.4044205202113874E-4</v>
      </c>
    </row>
    <row r="596" spans="1:10" x14ac:dyDescent="0.3">
      <c r="A596" s="2">
        <v>45166</v>
      </c>
      <c r="B596" s="3">
        <v>8.807191822330614E-3</v>
      </c>
      <c r="C596" s="3">
        <v>1.7447938588230454E-2</v>
      </c>
      <c r="D596" s="3">
        <v>9.6353246808491167E-4</v>
      </c>
      <c r="E596" s="3">
        <v>1.7089644098738022E-2</v>
      </c>
      <c r="F596" s="3">
        <v>-1.6189092090101653E-3</v>
      </c>
      <c r="G596" s="3">
        <v>6.2450565111568821E-3</v>
      </c>
      <c r="H596" s="3">
        <f>(Sheet1!$Y$19*' Rolling-window portfolio analy'!B596+Sheet1!$Z$19*' Rolling-window portfolio analy'!C596+Sheet1!$AA$19*' Rolling-window portfolio analy'!D596+Sheet1!$AB$19*' Rolling-window portfolio analy'!E596+Sheet1!$AC$19*' Rolling-window portfolio analy'!F596)</f>
        <v>1.5235250062890174E-2</v>
      </c>
      <c r="I596" s="6">
        <f t="shared" si="16"/>
        <v>1.4881571960638842</v>
      </c>
      <c r="J596" s="86">
        <f t="shared" si="17"/>
        <v>5.0532217022500108E-4</v>
      </c>
    </row>
    <row r="597" spans="1:10" x14ac:dyDescent="0.3">
      <c r="A597" s="2">
        <v>45163</v>
      </c>
      <c r="B597" s="3">
        <v>1.2563899456357483E-2</v>
      </c>
      <c r="C597" s="3">
        <v>-2.4469991061950268E-2</v>
      </c>
      <c r="D597" s="3">
        <v>3.6493390791600154E-2</v>
      </c>
      <c r="E597" s="3">
        <v>4.5313020042257509E-3</v>
      </c>
      <c r="F597" s="3">
        <v>1.1387791845705297E-2</v>
      </c>
      <c r="G597" s="3">
        <v>6.6955233154781116E-3</v>
      </c>
      <c r="H597" s="3">
        <f>(Sheet1!$Y$19*' Rolling-window portfolio analy'!B597+Sheet1!$Z$19*' Rolling-window portfolio analy'!C597+Sheet1!$AA$19*' Rolling-window portfolio analy'!D597+Sheet1!$AB$19*' Rolling-window portfolio analy'!E597+Sheet1!$AC$19*' Rolling-window portfolio analy'!F597)</f>
        <v>-1.2398656055196487E-2</v>
      </c>
      <c r="I597" s="6">
        <f t="shared" si="16"/>
        <v>1.445313361684663</v>
      </c>
      <c r="J597" s="86">
        <f t="shared" si="17"/>
        <v>4.1626536626910779E-5</v>
      </c>
    </row>
    <row r="598" spans="1:10" x14ac:dyDescent="0.3">
      <c r="A598" s="2">
        <v>45162</v>
      </c>
      <c r="B598" s="3">
        <v>-2.6519036554783462E-2</v>
      </c>
      <c r="C598" s="3">
        <v>8.4853632583886413E-4</v>
      </c>
      <c r="D598" s="3">
        <v>-2.9216042447795618E-2</v>
      </c>
      <c r="E598" s="3">
        <v>-6.5073082929156256E-3</v>
      </c>
      <c r="F598" s="3">
        <v>-1.4295240186826584E-2</v>
      </c>
      <c r="G598" s="3">
        <v>-1.3549420207499292E-2</v>
      </c>
      <c r="H598" s="3">
        <f>(Sheet1!$Y$19*' Rolling-window portfolio analy'!B598+Sheet1!$Z$19*' Rolling-window portfolio analy'!C598+Sheet1!$AA$19*' Rolling-window portfolio analy'!D598+Sheet1!$AB$19*' Rolling-window portfolio analy'!E598+Sheet1!$AC$19*' Rolling-window portfolio analy'!F598)</f>
        <v>-6.7096098528154156E-3</v>
      </c>
      <c r="I598" s="6">
        <f t="shared" si="16"/>
        <v>1.4057332551273285</v>
      </c>
      <c r="J598" s="86">
        <f t="shared" si="17"/>
        <v>3.0926968466589764E-4</v>
      </c>
    </row>
    <row r="599" spans="1:10" x14ac:dyDescent="0.3">
      <c r="A599" s="2">
        <v>45161</v>
      </c>
      <c r="B599" s="3">
        <v>2.171147094776997E-2</v>
      </c>
      <c r="C599" s="3">
        <v>3.1255912146423627E-2</v>
      </c>
      <c r="D599" s="3">
        <v>1.5615677383111074E-2</v>
      </c>
      <c r="E599" s="3">
        <v>7.9275613366497789E-3</v>
      </c>
      <c r="F599" s="3">
        <v>1.593270575656789E-2</v>
      </c>
      <c r="G599" s="3">
        <v>1.0984339030271489E-2</v>
      </c>
      <c r="H599" s="3">
        <f>(Sheet1!$Y$19*' Rolling-window portfolio analy'!B599+Sheet1!$Z$19*' Rolling-window portfolio analy'!C599+Sheet1!$AA$19*' Rolling-window portfolio analy'!D599+Sheet1!$AB$19*' Rolling-window portfolio analy'!E599+Sheet1!$AC$19*' Rolling-window portfolio analy'!F599)</f>
        <v>2.6641064089894789E-2</v>
      </c>
      <c r="I599" s="6">
        <f t="shared" si="16"/>
        <v>1.4304892976044516</v>
      </c>
      <c r="J599" s="86">
        <f t="shared" si="17"/>
        <v>4.1619357008392205E-4</v>
      </c>
    </row>
    <row r="600" spans="1:10" x14ac:dyDescent="0.3">
      <c r="A600" s="2">
        <v>45160</v>
      </c>
      <c r="B600" s="3">
        <v>7.8738334117370596E-3</v>
      </c>
      <c r="C600" s="3">
        <v>-2.806747284199609E-2</v>
      </c>
      <c r="D600" s="3">
        <v>8.2244742021472424E-3</v>
      </c>
      <c r="E600" s="3">
        <v>3.7021258288131103E-3</v>
      </c>
      <c r="F600" s="3">
        <v>-6.5338357241527039E-3</v>
      </c>
      <c r="G600" s="3">
        <v>-2.7812820922299762E-3</v>
      </c>
      <c r="H600" s="3">
        <f>(Sheet1!$Y$19*' Rolling-window portfolio analy'!B600+Sheet1!$Z$19*' Rolling-window portfolio analy'!C600+Sheet1!$AA$19*' Rolling-window portfolio analy'!D600+Sheet1!$AB$19*' Rolling-window portfolio analy'!E600+Sheet1!$AC$19*' Rolling-window portfolio analy'!F600)</f>
        <v>-1.6049986298486925E-2</v>
      </c>
      <c r="I600" s="6">
        <f t="shared" si="16"/>
        <v>1.4423643624959832</v>
      </c>
      <c r="J600" s="86">
        <f t="shared" si="17"/>
        <v>4.0974086273436498E-4</v>
      </c>
    </row>
    <row r="601" spans="1:10" x14ac:dyDescent="0.3">
      <c r="A601" s="2">
        <v>45159</v>
      </c>
      <c r="B601" s="3">
        <v>7.7070572451726866E-3</v>
      </c>
      <c r="C601" s="3">
        <v>8.135646503045954E-2</v>
      </c>
      <c r="D601" s="3">
        <v>7.0714592953270566E-2</v>
      </c>
      <c r="E601" s="3">
        <v>-5.9735634891250793E-3</v>
      </c>
      <c r="F601" s="3">
        <v>-5.1965040613369574E-3</v>
      </c>
      <c r="G601" s="3">
        <v>6.8556214812669266E-3</v>
      </c>
      <c r="H601" s="3">
        <f>(Sheet1!$Y$19*' Rolling-window portfolio analy'!B601+Sheet1!$Z$19*' Rolling-window portfolio analy'!C601+Sheet1!$AA$19*' Rolling-window portfolio analy'!D601+Sheet1!$AB$19*' Rolling-window portfolio analy'!E601+Sheet1!$AC$19*' Rolling-window portfolio analy'!F601)</f>
        <v>5.473764516434905E-2</v>
      </c>
      <c r="I601" s="6">
        <f t="shared" si="16"/>
        <v>1.5543049074611561</v>
      </c>
      <c r="J601" s="86">
        <f t="shared" si="17"/>
        <v>1.3096030702924176E-3</v>
      </c>
    </row>
    <row r="602" spans="1:10" x14ac:dyDescent="0.3">
      <c r="A602" s="2">
        <v>45156</v>
      </c>
      <c r="B602" s="3">
        <v>2.8121341956095711E-3</v>
      </c>
      <c r="C602" s="3">
        <v>-9.233610997689838E-4</v>
      </c>
      <c r="D602" s="3">
        <v>-1.7161287032757391E-2</v>
      </c>
      <c r="E602" s="3">
        <v>1.112231628216441E-2</v>
      </c>
      <c r="F602" s="3">
        <v>1.9627715480440622E-2</v>
      </c>
      <c r="G602" s="3">
        <v>-1.4874022775515319E-4</v>
      </c>
      <c r="H602" s="3">
        <f>(Sheet1!$Y$19*' Rolling-window portfolio analy'!B602+Sheet1!$Z$19*' Rolling-window portfolio analy'!C602+Sheet1!$AA$19*' Rolling-window portfolio analy'!D602+Sheet1!$AB$19*' Rolling-window portfolio analy'!E602+Sheet1!$AC$19*' Rolling-window portfolio analy'!F602)</f>
        <v>1.1188037311302239E-3</v>
      </c>
      <c r="I602" s="6">
        <f t="shared" si="16"/>
        <v>1.5548365760961906</v>
      </c>
      <c r="J602" s="86">
        <f t="shared" si="17"/>
        <v>1.2736723625234279E-3</v>
      </c>
    </row>
    <row r="603" spans="1:10" x14ac:dyDescent="0.3">
      <c r="A603" s="2">
        <v>45155</v>
      </c>
      <c r="B603" s="3">
        <v>-1.4662099100177803E-2</v>
      </c>
      <c r="C603" s="3">
        <v>-3.4550305013340632E-3</v>
      </c>
      <c r="D603" s="3">
        <v>-2.8687727836326522E-2</v>
      </c>
      <c r="E603" s="3">
        <v>-2.863690387724719E-3</v>
      </c>
      <c r="F603" s="3">
        <v>2.6463793148797416E-3</v>
      </c>
      <c r="G603" s="3">
        <v>-7.7427623561250646E-3</v>
      </c>
      <c r="H603" s="3">
        <f>(Sheet1!$Y$19*' Rolling-window portfolio analy'!B603+Sheet1!$Z$19*' Rolling-window portfolio analy'!C603+Sheet1!$AA$19*' Rolling-window portfolio analy'!D603+Sheet1!$AB$19*' Rolling-window portfolio analy'!E603+Sheet1!$AC$19*' Rolling-window portfolio analy'!F603)</f>
        <v>-6.2317014632246428E-3</v>
      </c>
      <c r="I603" s="6">
        <f t="shared" si="16"/>
        <v>1.5452193382503403</v>
      </c>
      <c r="J603" s="86">
        <f t="shared" si="17"/>
        <v>1.3425028316003164E-3</v>
      </c>
    </row>
    <row r="604" spans="1:10" x14ac:dyDescent="0.3">
      <c r="A604" s="2">
        <v>45154</v>
      </c>
      <c r="B604" s="3">
        <v>-4.9714807777985716E-3</v>
      </c>
      <c r="C604" s="3">
        <v>-1.0294040346916989E-2</v>
      </c>
      <c r="D604" s="3">
        <v>-3.2103245384417431E-2</v>
      </c>
      <c r="E604" s="3">
        <v>-3.9954391050564019E-3</v>
      </c>
      <c r="F604" s="3">
        <v>-2.9766848505006138E-3</v>
      </c>
      <c r="G604" s="3">
        <v>-7.5841303382103969E-3</v>
      </c>
      <c r="H604" s="3">
        <f>(Sheet1!$Y$19*' Rolling-window portfolio analy'!B604+Sheet1!$Z$19*' Rolling-window portfolio analy'!C604+Sheet1!$AA$19*' Rolling-window portfolio analy'!D604+Sheet1!$AB$19*' Rolling-window portfolio analy'!E604+Sheet1!$AC$19*' Rolling-window portfolio analy'!F604)</f>
        <v>-8.412476583975247E-3</v>
      </c>
      <c r="I604" s="6">
        <f t="shared" si="16"/>
        <v>1.5733687114310719</v>
      </c>
      <c r="J604" s="86">
        <f t="shared" si="17"/>
        <v>1.1144599187040223E-3</v>
      </c>
    </row>
    <row r="605" spans="1:10" x14ac:dyDescent="0.3">
      <c r="A605" s="2">
        <v>45153</v>
      </c>
      <c r="B605" s="3">
        <v>-1.126346277740628E-2</v>
      </c>
      <c r="C605" s="3">
        <v>4.3334541528405541E-3</v>
      </c>
      <c r="D605" s="3">
        <v>-2.8771658000086534E-2</v>
      </c>
      <c r="E605" s="3">
        <v>-6.2464711907129966E-3</v>
      </c>
      <c r="F605" s="3">
        <v>-1.7676401322721691E-2</v>
      </c>
      <c r="G605" s="3">
        <v>-1.1618060736365813E-2</v>
      </c>
      <c r="H605" s="3">
        <f>(Sheet1!$Y$19*' Rolling-window portfolio analy'!B605+Sheet1!$Z$19*' Rolling-window portfolio analy'!C605+Sheet1!$AA$19*' Rolling-window portfolio analy'!D605+Sheet1!$AB$19*' Rolling-window portfolio analy'!E605+Sheet1!$AC$19*' Rolling-window portfolio analy'!F605)</f>
        <v>-6.0888840985194419E-4</v>
      </c>
      <c r="I605" s="6">
        <f t="shared" si="16"/>
        <v>1.5263725833338371</v>
      </c>
      <c r="J605" s="86">
        <f t="shared" si="17"/>
        <v>1.245549456192581E-3</v>
      </c>
    </row>
    <row r="606" spans="1:10" x14ac:dyDescent="0.3">
      <c r="A606" s="2">
        <v>45152</v>
      </c>
      <c r="B606" s="3">
        <v>9.349263341431456E-3</v>
      </c>
      <c r="C606" s="3">
        <v>6.8584791497611514E-2</v>
      </c>
      <c r="D606" s="3">
        <v>-1.1981652842817509E-2</v>
      </c>
      <c r="E606" s="3">
        <v>-4.2366960703247979E-3</v>
      </c>
      <c r="F606" s="3">
        <v>2.2738356394427436E-3</v>
      </c>
      <c r="G606" s="3">
        <v>5.7339132747375263E-3</v>
      </c>
      <c r="H606" s="3">
        <f>(Sheet1!$Y$19*' Rolling-window portfolio analy'!B606+Sheet1!$Z$19*' Rolling-window portfolio analy'!C606+Sheet1!$AA$19*' Rolling-window portfolio analy'!D606+Sheet1!$AB$19*' Rolling-window portfolio analy'!E606+Sheet1!$AC$19*' Rolling-window portfolio analy'!F606)</f>
        <v>4.6799924787718709E-2</v>
      </c>
      <c r="I606" s="6">
        <f t="shared" si="16"/>
        <v>1.5812730987549461</v>
      </c>
      <c r="J606" s="86">
        <f t="shared" si="17"/>
        <v>1.9207661133448365E-3</v>
      </c>
    </row>
    <row r="607" spans="1:10" x14ac:dyDescent="0.3">
      <c r="A607" s="2">
        <v>45149</v>
      </c>
      <c r="B607" s="3">
        <v>-1.0119182334140055E-3</v>
      </c>
      <c r="C607" s="3">
        <v>-3.7005664058533852E-2</v>
      </c>
      <c r="D607" s="3">
        <v>-1.1024927753380737E-2</v>
      </c>
      <c r="E607" s="3">
        <v>4.2366960703249211E-3</v>
      </c>
      <c r="F607" s="3">
        <v>-5.5132294666944094E-3</v>
      </c>
      <c r="G607" s="3">
        <v>-1.0702036647139679E-3</v>
      </c>
      <c r="H607" s="3">
        <f>(Sheet1!$Y$19*' Rolling-window portfolio analy'!B607+Sheet1!$Z$19*' Rolling-window portfolio analy'!C607+Sheet1!$AA$19*' Rolling-window portfolio analy'!D607+Sheet1!$AB$19*' Rolling-window portfolio analy'!E607+Sheet1!$AC$19*' Rolling-window portfolio analy'!F607)</f>
        <v>-2.4095244065432599E-2</v>
      </c>
      <c r="I607" s="6">
        <f t="shared" si="16"/>
        <v>1.580393275969264</v>
      </c>
      <c r="J607" s="86">
        <f t="shared" si="17"/>
        <v>1.3663818729835748E-3</v>
      </c>
    </row>
    <row r="608" spans="1:10" x14ac:dyDescent="0.3">
      <c r="A608" s="2">
        <v>45148</v>
      </c>
      <c r="B608" s="3">
        <v>-1.235399977429129E-3</v>
      </c>
      <c r="C608" s="3">
        <v>-3.7673696548373202E-3</v>
      </c>
      <c r="D608" s="3">
        <v>1.2922461529572153E-2</v>
      </c>
      <c r="E608" s="3">
        <v>-2.1837373918312569E-2</v>
      </c>
      <c r="F608" s="3">
        <v>-6.126087190324361E-3</v>
      </c>
      <c r="G608" s="3">
        <v>2.5065629558288107E-4</v>
      </c>
      <c r="H608" s="3">
        <f>(Sheet1!$Y$19*' Rolling-window portfolio analy'!B608+Sheet1!$Z$19*' Rolling-window portfolio analy'!C608+Sheet1!$AA$19*' Rolling-window portfolio analy'!D608+Sheet1!$AB$19*' Rolling-window portfolio analy'!E608+Sheet1!$AC$19*' Rolling-window portfolio analy'!F608)</f>
        <v>-4.8215778156615735E-3</v>
      </c>
      <c r="I608" s="6">
        <f t="shared" si="16"/>
        <v>1.5694467557401228</v>
      </c>
      <c r="J608" s="86">
        <f t="shared" si="17"/>
        <v>1.1835471925917892E-3</v>
      </c>
    </row>
    <row r="609" spans="1:10" x14ac:dyDescent="0.3">
      <c r="A609" s="2">
        <v>45147</v>
      </c>
      <c r="B609" s="3">
        <v>-8.9947252981966482E-3</v>
      </c>
      <c r="C609" s="3">
        <v>-4.8398391392628609E-2</v>
      </c>
      <c r="D609" s="3">
        <v>-3.0537655210693675E-2</v>
      </c>
      <c r="E609" s="3">
        <v>1.2820688429061469E-2</v>
      </c>
      <c r="F609" s="3">
        <v>-6.4082244287686496E-3</v>
      </c>
      <c r="G609" s="3">
        <v>-7.0636364040070568E-3</v>
      </c>
      <c r="H609" s="3">
        <f>(Sheet1!$Y$19*' Rolling-window portfolio analy'!B609+Sheet1!$Z$19*' Rolling-window portfolio analy'!C609+Sheet1!$AA$19*' Rolling-window portfolio analy'!D609+Sheet1!$AB$19*' Rolling-window portfolio analy'!E609+Sheet1!$AC$19*' Rolling-window portfolio analy'!F609)</f>
        <v>-3.2759703302244481E-2</v>
      </c>
      <c r="I609" s="6">
        <f t="shared" si="16"/>
        <v>1.6342719461034152</v>
      </c>
      <c r="J609" s="86">
        <f t="shared" si="17"/>
        <v>9.6927983230150037E-4</v>
      </c>
    </row>
    <row r="610" spans="1:10" x14ac:dyDescent="0.3">
      <c r="A610" s="2">
        <v>45146</v>
      </c>
      <c r="B610" s="3">
        <v>5.2976563324931914E-3</v>
      </c>
      <c r="C610" s="3">
        <v>-1.6874290265400698E-2</v>
      </c>
      <c r="D610" s="3">
        <v>-6.9839653322462487E-3</v>
      </c>
      <c r="E610" s="3">
        <v>1.6844473382035274E-3</v>
      </c>
      <c r="F610" s="3">
        <v>-1.4899625770255694E-2</v>
      </c>
      <c r="G610" s="3">
        <v>-4.227192022498048E-3</v>
      </c>
      <c r="H610" s="3">
        <f>(Sheet1!$Y$19*' Rolling-window portfolio analy'!B610+Sheet1!$Z$19*' Rolling-window portfolio analy'!C610+Sheet1!$AA$19*' Rolling-window portfolio analy'!D610+Sheet1!$AB$19*' Rolling-window portfolio analy'!E610+Sheet1!$AC$19*' Rolling-window portfolio analy'!F610)</f>
        <v>-9.5820795470465056E-3</v>
      </c>
      <c r="I610" s="6">
        <f t="shared" si="16"/>
        <v>1.5977808079442097</v>
      </c>
      <c r="J610" s="86">
        <f t="shared" si="17"/>
        <v>6.5433378260595942E-4</v>
      </c>
    </row>
    <row r="611" spans="1:10" x14ac:dyDescent="0.3">
      <c r="A611" s="2">
        <v>45145</v>
      </c>
      <c r="B611" s="3">
        <v>-1.7404274807288778E-2</v>
      </c>
      <c r="C611" s="3">
        <v>1.6426562476412544E-2</v>
      </c>
      <c r="D611" s="3">
        <v>-9.5387713420574099E-3</v>
      </c>
      <c r="E611" s="3">
        <v>1.968781398131959E-3</v>
      </c>
      <c r="F611" s="3">
        <v>8.2148961188915279E-3</v>
      </c>
      <c r="G611" s="3">
        <v>8.9835839552586446E-3</v>
      </c>
      <c r="H611" s="3">
        <f>(Sheet1!$Y$19*' Rolling-window portfolio analy'!B611+Sheet1!$Z$19*' Rolling-window portfolio analy'!C611+Sheet1!$AA$19*' Rolling-window portfolio analy'!D611+Sheet1!$AB$19*' Rolling-window portfolio analy'!E611+Sheet1!$AC$19*' Rolling-window portfolio analy'!F611)</f>
        <v>6.5948542743208809E-3</v>
      </c>
      <c r="I611" s="6">
        <f t="shared" si="16"/>
        <v>1.6115094297977528</v>
      </c>
      <c r="J611" s="86">
        <f t="shared" si="17"/>
        <v>8.2918558487246174E-4</v>
      </c>
    </row>
    <row r="612" spans="1:10" x14ac:dyDescent="0.3">
      <c r="A612" s="2">
        <v>45142</v>
      </c>
      <c r="B612" s="3">
        <v>-4.9211344028611312E-2</v>
      </c>
      <c r="C612" s="3">
        <v>3.8120911732371027E-3</v>
      </c>
      <c r="D612" s="3">
        <v>-2.1279886346763744E-2</v>
      </c>
      <c r="E612" s="3">
        <v>-3.653228736335478E-3</v>
      </c>
      <c r="F612" s="3">
        <v>-4.3154297965570063E-2</v>
      </c>
      <c r="G612" s="3">
        <v>-5.3140910274567365E-3</v>
      </c>
      <c r="H612" s="3">
        <f>(Sheet1!$Y$19*' Rolling-window portfolio analy'!B612+Sheet1!$Z$19*' Rolling-window portfolio analy'!C612+Sheet1!$AA$19*' Rolling-window portfolio analy'!D612+Sheet1!$AB$19*' Rolling-window portfolio analy'!E612+Sheet1!$AC$19*' Rolling-window portfolio analy'!F612)</f>
        <v>-1.0127587099555588E-2</v>
      </c>
      <c r="I612" s="6">
        <f t="shared" si="16"/>
        <v>1.6369144185070845</v>
      </c>
      <c r="J612" s="86">
        <f t="shared" si="17"/>
        <v>9.3327429881619834E-4</v>
      </c>
    </row>
    <row r="613" spans="1:10" x14ac:dyDescent="0.3">
      <c r="A613" s="2">
        <v>45141</v>
      </c>
      <c r="B613" s="3">
        <v>-7.3485672712110756E-3</v>
      </c>
      <c r="C613" s="3">
        <v>5.4066362837131739E-3</v>
      </c>
      <c r="D613" s="3">
        <v>2.0295576170238732E-2</v>
      </c>
      <c r="E613" s="3">
        <v>2.5277362146009833E-3</v>
      </c>
      <c r="F613" s="3">
        <v>-1.5181420860225327E-3</v>
      </c>
      <c r="G613" s="3">
        <v>-2.5512255276715053E-3</v>
      </c>
      <c r="H613" s="3">
        <f>(Sheet1!$Y$19*' Rolling-window portfolio analy'!B613+Sheet1!$Z$19*' Rolling-window portfolio analy'!C613+Sheet1!$AA$19*' Rolling-window portfolio analy'!D613+Sheet1!$AB$19*' Rolling-window portfolio analy'!E613+Sheet1!$AC$19*' Rolling-window portfolio analy'!F613)</f>
        <v>1.9885481368958403E-3</v>
      </c>
      <c r="I613" s="6">
        <f t="shared" si="16"/>
        <v>1.6459540608462051</v>
      </c>
      <c r="J613" s="86">
        <f t="shared" si="17"/>
        <v>8.4979179039663608E-4</v>
      </c>
    </row>
    <row r="614" spans="1:10" x14ac:dyDescent="0.3">
      <c r="A614" s="2">
        <v>45140</v>
      </c>
      <c r="B614" s="3">
        <v>-1.5560105788579019E-2</v>
      </c>
      <c r="C614" s="3">
        <v>-4.9360096491955836E-2</v>
      </c>
      <c r="D614" s="3">
        <v>-2.7021326460868481E-2</v>
      </c>
      <c r="E614" s="3">
        <v>-5.8881426252225975E-3</v>
      </c>
      <c r="F614" s="3">
        <v>-1.0562947164317327E-2</v>
      </c>
      <c r="G614" s="3">
        <v>-1.3936235197657028E-2</v>
      </c>
      <c r="H614" s="3">
        <f>(Sheet1!$Y$19*' Rolling-window portfolio analy'!B614+Sheet1!$Z$19*' Rolling-window portfolio analy'!C614+Sheet1!$AA$19*' Rolling-window portfolio analy'!D614+Sheet1!$AB$19*' Rolling-window portfolio analy'!E614+Sheet1!$AC$19*' Rolling-window portfolio analy'!F614)</f>
        <v>-3.6790329220192597E-2</v>
      </c>
      <c r="I614" s="6">
        <f t="shared" si="16"/>
        <v>1.674174828186771</v>
      </c>
      <c r="J614" s="86">
        <f t="shared" si="17"/>
        <v>7.8261356494896514E-4</v>
      </c>
    </row>
    <row r="615" spans="1:10" x14ac:dyDescent="0.3">
      <c r="A615" s="2">
        <v>45139</v>
      </c>
      <c r="B615" s="3">
        <v>-4.3361884037517399E-3</v>
      </c>
      <c r="C615" s="3">
        <v>-4.7190134763290918E-3</v>
      </c>
      <c r="D615" s="3">
        <v>-2.4069279250873519E-2</v>
      </c>
      <c r="E615" s="3">
        <v>-5.5897150700798021E-4</v>
      </c>
      <c r="F615" s="3">
        <v>-3.0016509305360792E-4</v>
      </c>
      <c r="G615" s="3">
        <v>-2.668649552448092E-3</v>
      </c>
      <c r="H615" s="3">
        <f>(Sheet1!$Y$19*' Rolling-window portfolio analy'!B615+Sheet1!$Z$19*' Rolling-window portfolio analy'!C615+Sheet1!$AA$19*' Rolling-window portfolio analy'!D615+Sheet1!$AB$19*' Rolling-window portfolio analy'!E615+Sheet1!$AC$19*' Rolling-window portfolio analy'!F615)</f>
        <v>-4.2642813864465926E-3</v>
      </c>
      <c r="I615" s="6">
        <f t="shared" si="16"/>
        <v>1.6356848119098031</v>
      </c>
      <c r="J615" s="86">
        <f t="shared" si="17"/>
        <v>8.8558917434260567E-4</v>
      </c>
    </row>
    <row r="616" spans="1:10" x14ac:dyDescent="0.3">
      <c r="A616" s="2">
        <v>45138</v>
      </c>
      <c r="B616" s="3">
        <v>3.1610100757235426E-3</v>
      </c>
      <c r="C616" s="3">
        <v>-4.278990223612579E-4</v>
      </c>
      <c r="D616" s="3">
        <v>3.7087723033195487E-3</v>
      </c>
      <c r="E616" s="3">
        <v>1.0391892423246989E-2</v>
      </c>
      <c r="F616" s="3">
        <v>-1.4302985190331028E-2</v>
      </c>
      <c r="G616" s="3">
        <v>1.4676396864565879E-3</v>
      </c>
      <c r="H616" s="3">
        <f>(Sheet1!$Y$19*' Rolling-window portfolio analy'!B616+Sheet1!$Z$19*' Rolling-window portfolio analy'!C616+Sheet1!$AA$19*' Rolling-window portfolio analy'!D616+Sheet1!$AB$19*' Rolling-window portfolio analy'!E616+Sheet1!$AC$19*' Rolling-window portfolio analy'!F616)</f>
        <v>1.4984763742639912E-3</v>
      </c>
      <c r="I616" s="6">
        <f t="shared" si="16"/>
        <v>1.639542623522124</v>
      </c>
      <c r="J616" s="86">
        <f t="shared" si="17"/>
        <v>8.9759549943229495E-4</v>
      </c>
    </row>
    <row r="617" spans="1:10" x14ac:dyDescent="0.3">
      <c r="A617" s="2">
        <v>45135</v>
      </c>
      <c r="B617" s="3">
        <v>1.3417499839381564E-2</v>
      </c>
      <c r="C617" s="3">
        <v>1.8349138668196617E-2</v>
      </c>
      <c r="D617" s="3">
        <v>4.1105087682474298E-2</v>
      </c>
      <c r="E617" s="3">
        <v>2.1690348067227527E-2</v>
      </c>
      <c r="F617" s="3">
        <v>2.3044563086274748E-2</v>
      </c>
      <c r="G617" s="3">
        <v>9.8294145087675765E-3</v>
      </c>
      <c r="H617" s="3">
        <f>(Sheet1!$Y$19*' Rolling-window portfolio analy'!B617+Sheet1!$Z$19*' Rolling-window portfolio analy'!C617+Sheet1!$AA$19*' Rolling-window portfolio analy'!D617+Sheet1!$AB$19*' Rolling-window portfolio analy'!E617+Sheet1!$AC$19*' Rolling-window portfolio analy'!F617)</f>
        <v>1.7480946875288297E-2</v>
      </c>
      <c r="I617" s="6">
        <f t="shared" si="16"/>
        <v>1.6451106101959896</v>
      </c>
      <c r="J617" s="86">
        <f t="shared" si="17"/>
        <v>4.7788013618393151E-4</v>
      </c>
    </row>
    <row r="618" spans="1:10" x14ac:dyDescent="0.3">
      <c r="A618" s="2">
        <v>45134</v>
      </c>
      <c r="B618" s="3">
        <v>-6.6027269691374931E-3</v>
      </c>
      <c r="C618" s="3">
        <v>9.8522964430116395E-3</v>
      </c>
      <c r="D618" s="3">
        <v>-3.3229992818954869E-2</v>
      </c>
      <c r="E618" s="3">
        <v>-2.4791125745475821E-2</v>
      </c>
      <c r="F618" s="3">
        <v>2.4249784541819693E-3</v>
      </c>
      <c r="G618" s="3">
        <v>-6.4454274911412875E-3</v>
      </c>
      <c r="H618" s="3">
        <f>(Sheet1!$Y$19*' Rolling-window portfolio analy'!B618+Sheet1!$Z$19*' Rolling-window portfolio analy'!C618+Sheet1!$AA$19*' Rolling-window portfolio analy'!D618+Sheet1!$AB$19*' Rolling-window portfolio analy'!E618+Sheet1!$AC$19*' Rolling-window portfolio analy'!F618)</f>
        <v>2.3957806218725475E-3</v>
      </c>
      <c r="I618" s="6">
        <f t="shared" si="16"/>
        <v>1.6373026816436635</v>
      </c>
      <c r="J618" s="86">
        <f t="shared" si="17"/>
        <v>6.1885838977006617E-4</v>
      </c>
    </row>
    <row r="619" spans="1:10" x14ac:dyDescent="0.3">
      <c r="A619" s="2">
        <v>45133</v>
      </c>
      <c r="B619" s="3">
        <v>4.5346877665754255E-3</v>
      </c>
      <c r="C619" s="3">
        <v>-5.0477447242668625E-3</v>
      </c>
      <c r="D619" s="3">
        <v>-3.5118892654707424E-3</v>
      </c>
      <c r="E619" s="3">
        <v>-5.8930996983462651E-3</v>
      </c>
      <c r="F619" s="3">
        <v>-6.6545920104447431E-3</v>
      </c>
      <c r="G619" s="3">
        <v>-1.5545953102232801E-4</v>
      </c>
      <c r="H619" s="3">
        <f>(Sheet1!$Y$19*' Rolling-window portfolio analy'!B619+Sheet1!$Z$19*' Rolling-window portfolio analy'!C619+Sheet1!$AA$19*' Rolling-window portfolio analy'!D619+Sheet1!$AB$19*' Rolling-window portfolio analy'!E619+Sheet1!$AC$19*' Rolling-window portfolio analy'!F619)</f>
        <v>-2.7421662312351784E-3</v>
      </c>
      <c r="I619" s="6">
        <f t="shared" si="16"/>
        <v>1.6613575365823166</v>
      </c>
      <c r="J619" s="86">
        <f t="shared" si="17"/>
        <v>4.1562899385744526E-4</v>
      </c>
    </row>
    <row r="620" spans="1:10" x14ac:dyDescent="0.3">
      <c r="A620" s="2">
        <v>45132</v>
      </c>
      <c r="B620" s="3">
        <v>4.5034628484867016E-3</v>
      </c>
      <c r="C620" s="3">
        <v>2.3702516207581473E-2</v>
      </c>
      <c r="D620" s="3">
        <v>-1.414853111046682E-2</v>
      </c>
      <c r="E620" s="3">
        <v>-2.7940783754477716E-3</v>
      </c>
      <c r="F620" s="3">
        <v>1.9790568279351217E-2</v>
      </c>
      <c r="G620" s="3">
        <v>2.8107581456501534E-3</v>
      </c>
      <c r="H620" s="3">
        <f>(Sheet1!$Y$19*' Rolling-window portfolio analy'!B620+Sheet1!$Z$19*' Rolling-window portfolio analy'!C620+Sheet1!$AA$19*' Rolling-window portfolio analy'!D620+Sheet1!$AB$19*' Rolling-window portfolio analy'!E620+Sheet1!$AC$19*' Rolling-window portfolio analy'!F620)</f>
        <v>1.6345909744755471E-2</v>
      </c>
      <c r="I620" s="6">
        <f t="shared" si="16"/>
        <v>1.649576611143037</v>
      </c>
      <c r="J620" s="86">
        <f t="shared" si="17"/>
        <v>6.9503520443339045E-4</v>
      </c>
    </row>
    <row r="621" spans="1:10" x14ac:dyDescent="0.3">
      <c r="A621" s="2">
        <v>45131</v>
      </c>
      <c r="B621" s="3">
        <v>4.2111892539572022E-3</v>
      </c>
      <c r="C621" s="3">
        <v>6.747663928775279E-3</v>
      </c>
      <c r="D621" s="3">
        <v>3.4175851923374335E-2</v>
      </c>
      <c r="E621" s="3">
        <v>1.1505669229349258E-2</v>
      </c>
      <c r="F621" s="3">
        <v>1.8467225931647112E-3</v>
      </c>
      <c r="G621" s="3">
        <v>4.0259740353417468E-3</v>
      </c>
      <c r="H621" s="3">
        <f>(Sheet1!$Y$19*' Rolling-window portfolio analy'!B621+Sheet1!$Z$19*' Rolling-window portfolio analy'!C621+Sheet1!$AA$19*' Rolling-window portfolio analy'!D621+Sheet1!$AB$19*' Rolling-window portfolio analy'!E621+Sheet1!$AC$19*' Rolling-window portfolio analy'!F621)</f>
        <v>6.6179800994304585E-3</v>
      </c>
      <c r="I621" s="6">
        <f t="shared" si="16"/>
        <v>1.6539681748304391</v>
      </c>
      <c r="J621" s="86">
        <f t="shared" si="17"/>
        <v>1.2357091466752086E-3</v>
      </c>
    </row>
    <row r="622" spans="1:10" x14ac:dyDescent="0.3">
      <c r="A622" s="2">
        <v>45128</v>
      </c>
      <c r="B622" s="3">
        <v>-6.1807140950263561E-3</v>
      </c>
      <c r="C622" s="3">
        <v>-2.6941404606677401E-2</v>
      </c>
      <c r="D622" s="3">
        <v>-1.1015180601812861E-2</v>
      </c>
      <c r="E622" s="3">
        <v>2.1972634589920773E-2</v>
      </c>
      <c r="F622" s="3">
        <v>-3.7785967159524154E-2</v>
      </c>
      <c r="G622" s="3">
        <v>3.2410230010493271E-4</v>
      </c>
      <c r="H622" s="3">
        <f>(Sheet1!$Y$19*' Rolling-window portfolio analy'!B622+Sheet1!$Z$19*' Rolling-window portfolio analy'!C622+Sheet1!$AA$19*' Rolling-window portfolio analy'!D622+Sheet1!$AB$19*' Rolling-window portfolio analy'!E622+Sheet1!$AC$19*' Rolling-window portfolio analy'!F622)</f>
        <v>-1.7109674123797904E-2</v>
      </c>
      <c r="I622" s="6">
        <f t="shared" si="16"/>
        <v>1.6795099334332524</v>
      </c>
      <c r="J622" s="86">
        <f t="shared" si="17"/>
        <v>1.0918096021168616E-3</v>
      </c>
    </row>
    <row r="623" spans="1:10" x14ac:dyDescent="0.3">
      <c r="A623" s="2">
        <v>45127</v>
      </c>
      <c r="B623" s="3">
        <v>-1.0148710344557488E-2</v>
      </c>
      <c r="C623" s="3">
        <v>-3.3696492574000335E-2</v>
      </c>
      <c r="D623" s="3">
        <v>-0.10244260731859882</v>
      </c>
      <c r="E623" s="3">
        <v>-1.5459798316591536E-2</v>
      </c>
      <c r="F623" s="3">
        <v>-2.666273243003653E-3</v>
      </c>
      <c r="G623" s="3">
        <v>-6.7798061818515913E-3</v>
      </c>
      <c r="H623" s="3">
        <f>(Sheet1!$Y$19*' Rolling-window portfolio analy'!B623+Sheet1!$Z$19*' Rolling-window portfolio analy'!C623+Sheet1!$AA$19*' Rolling-window portfolio analy'!D623+Sheet1!$AB$19*' Rolling-window portfolio analy'!E623+Sheet1!$AC$19*' Rolling-window portfolio analy'!F623)</f>
        <v>-2.6235303874962309E-2</v>
      </c>
      <c r="I623" s="6">
        <f t="shared" si="16"/>
        <v>1.6884295754362639</v>
      </c>
      <c r="J623" s="86">
        <f t="shared" si="17"/>
        <v>1.1018494389640194E-3</v>
      </c>
    </row>
    <row r="624" spans="1:10" x14ac:dyDescent="0.3">
      <c r="A624" s="2">
        <v>45126</v>
      </c>
      <c r="B624" s="3">
        <v>7.0468105302110336E-3</v>
      </c>
      <c r="C624" s="3">
        <v>-8.6708801689545593E-3</v>
      </c>
      <c r="D624" s="3">
        <v>-7.1160067641748365E-3</v>
      </c>
      <c r="E624" s="3">
        <v>4.5558165358608824E-3</v>
      </c>
      <c r="F624" s="3">
        <v>1.4803851704342031E-3</v>
      </c>
      <c r="G624" s="3">
        <v>2.3550834835142126E-3</v>
      </c>
      <c r="H624" s="3">
        <f>(Sheet1!$Y$19*' Rolling-window portfolio analy'!B624+Sheet1!$Z$19*' Rolling-window portfolio analy'!C624+Sheet1!$AA$19*' Rolling-window portfolio analy'!D624+Sheet1!$AB$19*' Rolling-window portfolio analy'!E624+Sheet1!$AC$19*' Rolling-window portfolio analy'!F624)</f>
        <v>-3.5046496750459192E-3</v>
      </c>
      <c r="I624" s="6">
        <f t="shared" si="16"/>
        <v>1.7026238896988621</v>
      </c>
      <c r="J624" s="86">
        <f t="shared" si="17"/>
        <v>7.6774015869239575E-4</v>
      </c>
    </row>
    <row r="625" spans="1:10" x14ac:dyDescent="0.3">
      <c r="A625" s="2">
        <v>45125</v>
      </c>
      <c r="B625" s="3">
        <v>-1.3411742441602579E-3</v>
      </c>
      <c r="C625" s="3">
        <v>2.1927435218767378E-2</v>
      </c>
      <c r="D625" s="3">
        <v>1.0141935763067459E-2</v>
      </c>
      <c r="E625" s="3">
        <v>1.1192540432278492E-2</v>
      </c>
      <c r="F625" s="3">
        <v>1.5828313133390025E-2</v>
      </c>
      <c r="G625" s="3">
        <v>7.0920798661324126E-3</v>
      </c>
      <c r="H625" s="3">
        <f>(Sheet1!$Y$19*' Rolling-window portfolio analy'!B625+Sheet1!$Z$19*' Rolling-window portfolio analy'!C625+Sheet1!$AA$19*' Rolling-window portfolio analy'!D625+Sheet1!$AB$19*' Rolling-window portfolio analy'!E625+Sheet1!$AC$19*' Rolling-window portfolio analy'!F625)</f>
        <v>1.510124204543719E-2</v>
      </c>
      <c r="I625" s="6">
        <f t="shared" si="16"/>
        <v>1.6953702091886802</v>
      </c>
      <c r="J625" s="86">
        <f t="shared" si="17"/>
        <v>6.6354257859308147E-4</v>
      </c>
    </row>
    <row r="626" spans="1:10" x14ac:dyDescent="0.3">
      <c r="A626" s="2">
        <v>45124</v>
      </c>
      <c r="B626" s="3">
        <v>1.7157538496479198E-2</v>
      </c>
      <c r="C626" s="3">
        <v>2.1538959505343919E-2</v>
      </c>
      <c r="D626" s="3">
        <v>3.1484341106474446E-2</v>
      </c>
      <c r="E626" s="3">
        <v>8.695706967553913E-3</v>
      </c>
      <c r="F626" s="3">
        <v>-1.2266421567029577E-2</v>
      </c>
      <c r="G626" s="3">
        <v>3.8479435973795429E-3</v>
      </c>
      <c r="H626" s="3">
        <f>(Sheet1!$Y$19*' Rolling-window portfolio analy'!B626+Sheet1!$Z$19*' Rolling-window portfolio analy'!C626+Sheet1!$AA$19*' Rolling-window portfolio analy'!D626+Sheet1!$AB$19*' Rolling-window portfolio analy'!E626+Sheet1!$AC$19*' Rolling-window portfolio analy'!F626)</f>
        <v>1.9249092737165609E-2</v>
      </c>
      <c r="I626" s="6">
        <f t="shared" si="16"/>
        <v>1.7175325718888776</v>
      </c>
      <c r="J626" s="86">
        <f t="shared" si="17"/>
        <v>9.2207616620962286E-4</v>
      </c>
    </row>
    <row r="627" spans="1:10" x14ac:dyDescent="0.3">
      <c r="A627" s="2">
        <v>45121</v>
      </c>
      <c r="B627" s="3">
        <v>7.8692656790220266E-4</v>
      </c>
      <c r="C627" s="3">
        <v>-1.1153751498116289E-2</v>
      </c>
      <c r="D627" s="3">
        <v>1.2444732200609191E-2</v>
      </c>
      <c r="E627" s="3">
        <v>-9.5611332439827345E-3</v>
      </c>
      <c r="F627" s="3">
        <v>-2.6726073814763254E-3</v>
      </c>
      <c r="G627" s="3">
        <v>-1.0249061954501163E-3</v>
      </c>
      <c r="H627" s="3">
        <f>(Sheet1!$Y$19*' Rolling-window portfolio analy'!B627+Sheet1!$Z$19*' Rolling-window portfolio analy'!C627+Sheet1!$AA$19*' Rolling-window portfolio analy'!D627+Sheet1!$AB$19*' Rolling-window portfolio analy'!E627+Sheet1!$AC$19*' Rolling-window portfolio analy'!F627)</f>
        <v>-7.9904363104122359E-3</v>
      </c>
      <c r="I627" s="6">
        <f t="shared" si="16"/>
        <v>1.7499228765709132</v>
      </c>
      <c r="J627" s="86">
        <f t="shared" si="17"/>
        <v>1.0613039091339677E-3</v>
      </c>
    </row>
    <row r="628" spans="1:10" x14ac:dyDescent="0.3">
      <c r="A628" s="2">
        <v>45120</v>
      </c>
      <c r="B628" s="3">
        <v>4.0493337127456971E-3</v>
      </c>
      <c r="C628" s="3">
        <v>4.6292199253909823E-2</v>
      </c>
      <c r="D628" s="3">
        <v>2.149603583418137E-2</v>
      </c>
      <c r="E628" s="3">
        <v>6.9444723528112153E-3</v>
      </c>
      <c r="F628" s="3">
        <v>5.6505726555173639E-3</v>
      </c>
      <c r="G628" s="3">
        <v>8.434509266769535E-3</v>
      </c>
      <c r="H628" s="3">
        <f>(Sheet1!$Y$19*' Rolling-window portfolio analy'!B628+Sheet1!$Z$19*' Rolling-window portfolio analy'!C628+Sheet1!$AA$19*' Rolling-window portfolio analy'!D628+Sheet1!$AB$19*' Rolling-window portfolio analy'!E628+Sheet1!$AC$19*' Rolling-window portfolio analy'!F628)</f>
        <v>3.2009606733804444E-2</v>
      </c>
      <c r="I628" s="6">
        <f t="shared" si="16"/>
        <v>1.8066779353276392</v>
      </c>
      <c r="J628" s="86">
        <f t="shared" si="17"/>
        <v>1.4100299036596848E-3</v>
      </c>
    </row>
    <row r="629" spans="1:10" x14ac:dyDescent="0.3">
      <c r="A629" s="2">
        <v>45119</v>
      </c>
      <c r="B629" s="3">
        <v>8.9454083340733282E-3</v>
      </c>
      <c r="C629" s="3">
        <v>3.4765957843213659E-2</v>
      </c>
      <c r="D629" s="3">
        <v>8.1214223197426903E-3</v>
      </c>
      <c r="E629" s="3">
        <v>1.197619104671562E-2</v>
      </c>
      <c r="F629" s="3">
        <v>-7.1322739193391809E-3</v>
      </c>
      <c r="G629" s="3">
        <v>7.383817501052891E-3</v>
      </c>
      <c r="H629" s="3">
        <f>(Sheet1!$Y$19*' Rolling-window portfolio analy'!B629+Sheet1!$Z$19*' Rolling-window portfolio analy'!C629+Sheet1!$AA$19*' Rolling-window portfolio analy'!D629+Sheet1!$AB$19*' Rolling-window portfolio analy'!E629+Sheet1!$AC$19*' Rolling-window portfolio analy'!F629)</f>
        <v>2.6134657808340307E-2</v>
      </c>
      <c r="I629" s="6">
        <f t="shared" si="16"/>
        <v>1.8402465526422425</v>
      </c>
      <c r="J629" s="86">
        <f t="shared" si="17"/>
        <v>1.4124875135975699E-3</v>
      </c>
    </row>
    <row r="630" spans="1:10" x14ac:dyDescent="0.3">
      <c r="A630" s="2">
        <v>45118</v>
      </c>
      <c r="B630" s="3">
        <v>-2.813986831265311E-3</v>
      </c>
      <c r="C630" s="3">
        <v>5.2021871872835815E-3</v>
      </c>
      <c r="D630" s="3">
        <v>6.6740825614200689E-4</v>
      </c>
      <c r="E630" s="3">
        <v>2.3789406146311653E-2</v>
      </c>
      <c r="F630" s="3">
        <v>4.749192660462094E-3</v>
      </c>
      <c r="G630" s="3">
        <v>6.7195880716203853E-3</v>
      </c>
      <c r="H630" s="3">
        <f>(Sheet1!$Y$19*' Rolling-window portfolio analy'!B630+Sheet1!$Z$19*' Rolling-window portfolio analy'!C630+Sheet1!$AA$19*' Rolling-window portfolio analy'!D630+Sheet1!$AB$19*' Rolling-window portfolio analy'!E630+Sheet1!$AC$19*' Rolling-window portfolio analy'!F630)</f>
        <v>4.9636777635576248E-3</v>
      </c>
      <c r="I630" s="6">
        <f t="shared" si="16"/>
        <v>1.8490905137189391</v>
      </c>
      <c r="J630" s="86">
        <f t="shared" si="17"/>
        <v>1.4478561950134992E-3</v>
      </c>
    </row>
    <row r="631" spans="1:10" x14ac:dyDescent="0.3">
      <c r="A631" s="2">
        <v>45117</v>
      </c>
      <c r="B631" s="3">
        <v>-1.0915239273545508E-2</v>
      </c>
      <c r="C631" s="3">
        <v>-7.5579008797426218E-3</v>
      </c>
      <c r="D631" s="3">
        <v>-1.7719748983374178E-2</v>
      </c>
      <c r="E631" s="3">
        <v>3.6177308073478899E-3</v>
      </c>
      <c r="F631" s="3">
        <v>9.2662447506161299E-3</v>
      </c>
      <c r="G631" s="3">
        <v>2.4022317330228151E-3</v>
      </c>
      <c r="H631" s="3">
        <f>(Sheet1!$Y$19*' Rolling-window portfolio analy'!B631+Sheet1!$Z$19*' Rolling-window portfolio analy'!C631+Sheet1!$AA$19*' Rolling-window portfolio analy'!D631+Sheet1!$AB$19*' Rolling-window portfolio analy'!E631+Sheet1!$AC$19*' Rolling-window portfolio analy'!F631)</f>
        <v>-7.3511133179973692E-3</v>
      </c>
      <c r="I631" s="6">
        <f t="shared" si="16"/>
        <v>1.8527746191558359</v>
      </c>
      <c r="J631" s="86">
        <f t="shared" si="17"/>
        <v>1.1726739020695917E-3</v>
      </c>
    </row>
    <row r="632" spans="1:10" x14ac:dyDescent="0.3">
      <c r="A632" s="2">
        <v>45114</v>
      </c>
      <c r="B632" s="3">
        <v>-5.9086683969717616E-3</v>
      </c>
      <c r="C632" s="3">
        <v>9.4563352420354435E-3</v>
      </c>
      <c r="D632" s="3">
        <v>-7.6592566387059325E-3</v>
      </c>
      <c r="E632" s="3">
        <v>4.6678230966288509E-2</v>
      </c>
      <c r="F632" s="3">
        <v>-4.7932985722798464E-3</v>
      </c>
      <c r="G632" s="3">
        <v>-2.8692926136023467E-3</v>
      </c>
      <c r="H632" s="3">
        <f>(Sheet1!$Y$19*' Rolling-window portfolio analy'!B632+Sheet1!$Z$19*' Rolling-window portfolio analy'!C632+Sheet1!$AA$19*' Rolling-window portfolio analy'!D632+Sheet1!$AB$19*' Rolling-window portfolio analy'!E632+Sheet1!$AC$19*' Rolling-window portfolio analy'!F632)</f>
        <v>9.1351824834755395E-3</v>
      </c>
      <c r="I632" s="6">
        <f t="shared" si="16"/>
        <v>1.8375995840495398</v>
      </c>
      <c r="J632" s="86">
        <f t="shared" si="17"/>
        <v>1.063130357619232E-3</v>
      </c>
    </row>
    <row r="633" spans="1:10" x14ac:dyDescent="0.3">
      <c r="A633" s="2">
        <v>45113</v>
      </c>
      <c r="B633" s="3">
        <v>2.5056128366851334E-3</v>
      </c>
      <c r="C633" s="3">
        <v>-5.2120468617082027E-3</v>
      </c>
      <c r="D633" s="3">
        <v>-2.1252275659659092E-2</v>
      </c>
      <c r="E633" s="3">
        <v>1.9005390579741393E-3</v>
      </c>
      <c r="F633" s="3">
        <v>-1.2178971271002301E-2</v>
      </c>
      <c r="G633" s="3">
        <v>-7.9540652874783013E-3</v>
      </c>
      <c r="H633" s="3">
        <f>(Sheet1!$Y$19*' Rolling-window portfolio analy'!B633+Sheet1!$Z$19*' Rolling-window portfolio analy'!C633+Sheet1!$AA$19*' Rolling-window portfolio analy'!D633+Sheet1!$AB$19*' Rolling-window portfolio analy'!E633+Sheet1!$AC$19*' Rolling-window portfolio analy'!F633)</f>
        <v>-2.6471853932295304E-3</v>
      </c>
      <c r="I633" s="6">
        <f t="shared" si="16"/>
        <v>1.814969493941758</v>
      </c>
      <c r="J633" s="86">
        <f t="shared" si="17"/>
        <v>1.1026552419966362E-3</v>
      </c>
    </row>
    <row r="634" spans="1:10" x14ac:dyDescent="0.3">
      <c r="A634" s="2">
        <v>45112</v>
      </c>
      <c r="B634" s="3">
        <v>-5.8886540313434167E-3</v>
      </c>
      <c r="C634" s="3">
        <v>-2.124395936455266E-3</v>
      </c>
      <c r="D634" s="3">
        <v>9.4612123149912901E-3</v>
      </c>
      <c r="E634" s="3">
        <v>-1.9005390579742256E-3</v>
      </c>
      <c r="F634" s="3">
        <v>-1.378118863964929E-2</v>
      </c>
      <c r="G634" s="3">
        <v>-1.9702536362673942E-3</v>
      </c>
      <c r="H634" s="3">
        <f>(Sheet1!$Y$19*' Rolling-window portfolio analy'!B634+Sheet1!$Z$19*' Rolling-window portfolio analy'!C634+Sheet1!$AA$19*' Rolling-window portfolio analy'!D634+Sheet1!$AB$19*' Rolling-window portfolio analy'!E634+Sheet1!$AC$19*' Rolling-window portfolio analy'!F634)</f>
        <v>-3.0182537320784606E-3</v>
      </c>
      <c r="I634" s="6">
        <f t="shared" si="16"/>
        <v>1.8171024988429667</v>
      </c>
      <c r="J634" s="86">
        <f t="shared" si="17"/>
        <v>1.1115692827887839E-3</v>
      </c>
    </row>
    <row r="635" spans="1:10" x14ac:dyDescent="0.3">
      <c r="A635" s="2">
        <v>45110</v>
      </c>
      <c r="B635" s="3">
        <v>-7.8151680019455765E-3</v>
      </c>
      <c r="C635" s="3">
        <v>2.5970974342670078E-3</v>
      </c>
      <c r="D635" s="3">
        <v>6.6680283686485764E-2</v>
      </c>
      <c r="E635" s="3">
        <v>-3.1640563465992099E-4</v>
      </c>
      <c r="F635" s="3">
        <v>7.0134711798584045E-3</v>
      </c>
      <c r="G635" s="3">
        <v>1.1700018289601843E-3</v>
      </c>
      <c r="H635" s="3">
        <f>(Sheet1!$Y$19*' Rolling-window portfolio analy'!B635+Sheet1!$Z$19*' Rolling-window portfolio analy'!C635+Sheet1!$AA$19*' Rolling-window portfolio analy'!D635+Sheet1!$AB$19*' Rolling-window portfolio analy'!E635+Sheet1!$AC$19*' Rolling-window portfolio analy'!F635)</f>
        <v>-1.524038660266573E-4</v>
      </c>
      <c r="I635" s="6">
        <f t="shared" si="16"/>
        <v>1.8129200826761709</v>
      </c>
      <c r="J635" s="86">
        <f t="shared" si="17"/>
        <v>9.4598452932671048E-4</v>
      </c>
    </row>
    <row r="636" spans="1:10" x14ac:dyDescent="0.3">
      <c r="A636" s="2">
        <v>45107</v>
      </c>
      <c r="B636" s="3">
        <v>2.2839662116253382E-2</v>
      </c>
      <c r="C636" s="3">
        <v>3.5614928670533459E-2</v>
      </c>
      <c r="D636" s="3">
        <v>1.6446535514863053E-2</v>
      </c>
      <c r="E636" s="3">
        <v>7.9403307453192254E-3</v>
      </c>
      <c r="F636" s="3">
        <v>6.7677174597909322E-3</v>
      </c>
      <c r="G636" s="3">
        <v>1.2194363266362706E-2</v>
      </c>
      <c r="H636" s="3">
        <f>(Sheet1!$Y$19*' Rolling-window portfolio analy'!B636+Sheet1!$Z$19*' Rolling-window portfolio analy'!C636+Sheet1!$AA$19*' Rolling-window portfolio analy'!D636+Sheet1!$AB$19*' Rolling-window portfolio analy'!E636+Sheet1!$AC$19*' Rolling-window portfolio analy'!F636)</f>
        <v>2.977794337332576E-2</v>
      </c>
      <c r="I636" s="6">
        <f t="shared" si="16"/>
        <v>1.9212755609143779</v>
      </c>
      <c r="J636" s="86">
        <f t="shared" si="17"/>
        <v>8.5436008238421682E-4</v>
      </c>
    </row>
    <row r="637" spans="1:10" x14ac:dyDescent="0.3">
      <c r="A637" s="2">
        <v>45106</v>
      </c>
      <c r="B637" s="3">
        <v>1.794953496388748E-3</v>
      </c>
      <c r="C637" s="3">
        <v>-7.3224637652109072E-3</v>
      </c>
      <c r="D637" s="3">
        <v>4.905214802887998E-3</v>
      </c>
      <c r="E637" s="3">
        <v>7.3612110286903698E-3</v>
      </c>
      <c r="F637" s="3">
        <v>8.3012632054787518E-3</v>
      </c>
      <c r="G637" s="3">
        <v>4.4635502053141703E-3</v>
      </c>
      <c r="H637" s="3">
        <f>(Sheet1!$Y$19*' Rolling-window portfolio analy'!B637+Sheet1!$Z$19*' Rolling-window portfolio analy'!C637+Sheet1!$AA$19*' Rolling-window portfolio analy'!D637+Sheet1!$AB$19*' Rolling-window portfolio analy'!E637+Sheet1!$AC$19*' Rolling-window portfolio analy'!F637)</f>
        <v>-3.6400393871067636E-3</v>
      </c>
      <c r="I637" s="6">
        <f t="shared" si="16"/>
        <v>1.8931421913851147</v>
      </c>
      <c r="J637" s="86">
        <f t="shared" si="17"/>
        <v>5.5699533044918387E-4</v>
      </c>
    </row>
    <row r="638" spans="1:10" x14ac:dyDescent="0.3">
      <c r="A638" s="2">
        <v>45105</v>
      </c>
      <c r="B638" s="3">
        <v>6.3078314686272193E-3</v>
      </c>
      <c r="C638" s="3">
        <v>-1.8313764855426552E-2</v>
      </c>
      <c r="D638" s="3">
        <v>2.3813940041212667E-2</v>
      </c>
      <c r="E638" s="3">
        <v>5.1529904684052986E-3</v>
      </c>
      <c r="F638" s="3">
        <v>3.5788884009663102E-3</v>
      </c>
      <c r="G638" s="3">
        <v>-3.5407246519950932E-4</v>
      </c>
      <c r="H638" s="3">
        <f>(Sheet1!$Y$19*' Rolling-window portfolio analy'!B638+Sheet1!$Z$19*' Rolling-window portfolio analy'!C638+Sheet1!$AA$19*' Rolling-window portfolio analy'!D638+Sheet1!$AB$19*' Rolling-window portfolio analy'!E638+Sheet1!$AC$19*' Rolling-window portfolio analy'!F638)</f>
        <v>-9.8883230910492611E-3</v>
      </c>
      <c r="I638" s="6">
        <f t="shared" si="16"/>
        <v>1.9053495450142817</v>
      </c>
      <c r="J638" s="86">
        <f t="shared" si="17"/>
        <v>1.4485775106945758E-4</v>
      </c>
    </row>
    <row r="639" spans="1:10" x14ac:dyDescent="0.3">
      <c r="A639" s="2">
        <v>45104</v>
      </c>
      <c r="B639" s="3">
        <v>1.4946840287009402E-2</v>
      </c>
      <c r="C639" s="3">
        <v>3.0301676002700687E-2</v>
      </c>
      <c r="D639" s="3">
        <v>3.7296184408058833E-2</v>
      </c>
      <c r="E639" s="3">
        <v>1.4309187238324823E-2</v>
      </c>
      <c r="F639" s="3">
        <v>1.0814163664080428E-2</v>
      </c>
      <c r="G639" s="3">
        <v>1.1390657230512101E-2</v>
      </c>
      <c r="H639" s="3">
        <f>(Sheet1!$Y$19*' Rolling-window portfolio analy'!B639+Sheet1!$Z$19*' Rolling-window portfolio analy'!C639+Sheet1!$AA$19*' Rolling-window portfolio analy'!D639+Sheet1!$AB$19*' Rolling-window portfolio analy'!E639+Sheet1!$AC$19*' Rolling-window portfolio analy'!F639)</f>
        <v>2.4978821287973518E-2</v>
      </c>
      <c r="I639" s="6">
        <f t="shared" ref="I639:I702" si="18">SLOPE(H580:H639,G580:G639)</f>
        <v>1.970469507044954</v>
      </c>
      <c r="J639" s="86">
        <f t="shared" ref="J639:J702" si="19">AVERAGE(H580:H639)-($N$1+I639*(AVERAGE(G580:G639)-$N$1))</f>
        <v>5.7110769725144544E-5</v>
      </c>
    </row>
    <row r="640" spans="1:10" x14ac:dyDescent="0.3">
      <c r="A640" s="2">
        <v>45103</v>
      </c>
      <c r="B640" s="3">
        <v>-7.5817005196935298E-3</v>
      </c>
      <c r="C640" s="3">
        <v>-3.8150449794771953E-2</v>
      </c>
      <c r="D640" s="3">
        <v>-6.2514071329904816E-2</v>
      </c>
      <c r="E640" s="3">
        <v>2.52086317191016E-2</v>
      </c>
      <c r="F640" s="3">
        <v>1.123777961616592E-2</v>
      </c>
      <c r="G640" s="3">
        <v>-4.4968757892660969E-3</v>
      </c>
      <c r="H640" s="3">
        <f>(Sheet1!$Y$19*' Rolling-window portfolio analy'!B640+Sheet1!$Z$19*' Rolling-window portfolio analy'!C640+Sheet1!$AA$19*' Rolling-window portfolio analy'!D640+Sheet1!$AB$19*' Rolling-window portfolio analy'!E640+Sheet1!$AC$19*' Rolling-window portfolio analy'!F640)</f>
        <v>-2.4582429898275471E-2</v>
      </c>
      <c r="I640" s="6">
        <f t="shared" si="18"/>
        <v>1.9737094944544968</v>
      </c>
      <c r="J640" s="86">
        <f t="shared" si="19"/>
        <v>-8.9004824183444857E-5</v>
      </c>
    </row>
    <row r="641" spans="1:10" x14ac:dyDescent="0.3">
      <c r="A641" s="2">
        <v>45100</v>
      </c>
      <c r="B641" s="3">
        <v>-1.7126957729717623E-3</v>
      </c>
      <c r="C641" s="3">
        <v>-1.9240387056100903E-2</v>
      </c>
      <c r="D641" s="3">
        <v>-3.0738591680121472E-2</v>
      </c>
      <c r="E641" s="3">
        <v>-1.2683748145509353E-2</v>
      </c>
      <c r="F641" s="3">
        <v>-1.1237779616166012E-2</v>
      </c>
      <c r="G641" s="3">
        <v>-7.688274822307147E-3</v>
      </c>
      <c r="H641" s="3">
        <f>(Sheet1!$Y$19*' Rolling-window portfolio analy'!B641+Sheet1!$Z$19*' Rolling-window portfolio analy'!C641+Sheet1!$AA$19*' Rolling-window portfolio analy'!D641+Sheet1!$AB$19*' Rolling-window portfolio analy'!E641+Sheet1!$AC$19*' Rolling-window portfolio analy'!F641)</f>
        <v>-1.4280441389147561E-2</v>
      </c>
      <c r="I641" s="6">
        <f t="shared" si="18"/>
        <v>1.9689442342959391</v>
      </c>
      <c r="J641" s="86">
        <f t="shared" si="19"/>
        <v>-4.5668959596293116E-5</v>
      </c>
    </row>
    <row r="642" spans="1:10" x14ac:dyDescent="0.3">
      <c r="A642" s="2">
        <v>45099</v>
      </c>
      <c r="B642" s="3">
        <v>1.6390274182863554E-2</v>
      </c>
      <c r="C642" s="3">
        <v>-2.3236900302070086E-4</v>
      </c>
      <c r="D642" s="3">
        <v>1.9654495718791385E-2</v>
      </c>
      <c r="E642" s="3">
        <v>-1.1213837826969013E-2</v>
      </c>
      <c r="F642" s="3">
        <v>-6.0386475264969752E-4</v>
      </c>
      <c r="G642" s="3">
        <v>3.7038857650539521E-3</v>
      </c>
      <c r="H642" s="3">
        <f>(Sheet1!$Y$19*' Rolling-window portfolio analy'!B642+Sheet1!$Z$19*' Rolling-window portfolio analy'!C642+Sheet1!$AA$19*' Rolling-window portfolio analy'!D642+Sheet1!$AB$19*' Rolling-window portfolio analy'!E642+Sheet1!$AC$19*' Rolling-window portfolio analy'!F642)</f>
        <v>2.8957498955639767E-3</v>
      </c>
      <c r="I642" s="6">
        <f t="shared" si="18"/>
        <v>1.9628515189729447</v>
      </c>
      <c r="J642" s="86">
        <f t="shared" si="19"/>
        <v>-1.932582805835453E-4</v>
      </c>
    </row>
    <row r="643" spans="1:10" x14ac:dyDescent="0.3">
      <c r="A643" s="2">
        <v>45098</v>
      </c>
      <c r="B643" s="3">
        <v>-5.6915349997879849E-3</v>
      </c>
      <c r="C643" s="3">
        <v>-1.7732185972278238E-2</v>
      </c>
      <c r="D643" s="3">
        <v>-5.6166546853031872E-2</v>
      </c>
      <c r="E643" s="3">
        <v>2.2890367488804512E-2</v>
      </c>
      <c r="F643" s="3">
        <v>6.6626533565561381E-3</v>
      </c>
      <c r="G643" s="3">
        <v>-5.2590818461865788E-3</v>
      </c>
      <c r="H643" s="3">
        <f>(Sheet1!$Y$19*' Rolling-window portfolio analy'!B643+Sheet1!$Z$19*' Rolling-window portfolio analy'!C643+Sheet1!$AA$19*' Rolling-window portfolio analy'!D643+Sheet1!$AB$19*' Rolling-window portfolio analy'!E643+Sheet1!$AC$19*' Rolling-window portfolio analy'!F643)</f>
        <v>-1.095410556391445E-2</v>
      </c>
      <c r="I643" s="6">
        <f t="shared" si="18"/>
        <v>1.9502676345344347</v>
      </c>
      <c r="J643" s="86">
        <f t="shared" si="19"/>
        <v>-1.5077979429817105E-4</v>
      </c>
    </row>
    <row r="644" spans="1:10" x14ac:dyDescent="0.3">
      <c r="A644" s="2">
        <v>45097</v>
      </c>
      <c r="B644" s="3">
        <v>4.8657855148655894E-4</v>
      </c>
      <c r="C644" s="3">
        <v>2.5897401055936565E-2</v>
      </c>
      <c r="D644" s="3">
        <v>5.2012694726479999E-2</v>
      </c>
      <c r="E644" s="3">
        <v>-2.5510742391384365E-2</v>
      </c>
      <c r="F644" s="3">
        <v>-9.0744724334067186E-3</v>
      </c>
      <c r="G644" s="3">
        <v>-4.7463803686906532E-3</v>
      </c>
      <c r="H644" s="3">
        <f>(Sheet1!$Y$19*' Rolling-window portfolio analy'!B644+Sheet1!$Z$19*' Rolling-window portfolio analy'!C644+Sheet1!$AA$19*' Rolling-window portfolio analy'!D644+Sheet1!$AB$19*' Rolling-window portfolio analy'!E644+Sheet1!$AC$19*' Rolling-window portfolio analy'!F644)</f>
        <v>1.4748919988323986E-2</v>
      </c>
      <c r="I644" s="6">
        <f t="shared" si="18"/>
        <v>1.9392575881820997</v>
      </c>
      <c r="J644" s="86">
        <f t="shared" si="19"/>
        <v>4.4539047868725307E-4</v>
      </c>
    </row>
    <row r="645" spans="1:10" x14ac:dyDescent="0.3">
      <c r="A645" s="2">
        <v>45093</v>
      </c>
      <c r="B645" s="3">
        <v>-5.8771365888347889E-3</v>
      </c>
      <c r="C645" s="3">
        <v>9.3742683218248925E-4</v>
      </c>
      <c r="D645" s="3">
        <v>1.7969657103674836E-2</v>
      </c>
      <c r="E645" s="3">
        <v>1.085358459141085E-2</v>
      </c>
      <c r="F645" s="3">
        <v>-1.0483846210350303E-2</v>
      </c>
      <c r="G645" s="3">
        <v>-3.6783763376504303E-3</v>
      </c>
      <c r="H645" s="3">
        <f>(Sheet1!$Y$19*' Rolling-window portfolio analy'!B645+Sheet1!$Z$19*' Rolling-window portfolio analy'!C645+Sheet1!$AA$19*' Rolling-window portfolio analy'!D645+Sheet1!$AB$19*' Rolling-window portfolio analy'!E645+Sheet1!$AC$19*' Rolling-window portfolio analy'!F645)</f>
        <v>2.1430865470780031E-4</v>
      </c>
      <c r="I645" s="6">
        <f t="shared" si="18"/>
        <v>1.9279505713231886</v>
      </c>
      <c r="J645" s="86">
        <f t="shared" si="19"/>
        <v>5.4402399168368052E-4</v>
      </c>
    </row>
    <row r="646" spans="1:10" x14ac:dyDescent="0.3">
      <c r="A646" s="2">
        <v>45092</v>
      </c>
      <c r="B646" s="3">
        <v>1.1136454158076165E-2</v>
      </c>
      <c r="C646" s="3">
        <v>-8.172841755874358E-3</v>
      </c>
      <c r="D646" s="3">
        <v>-3.4718870818811779E-3</v>
      </c>
      <c r="E646" s="3">
        <v>9.9701723198498508E-3</v>
      </c>
      <c r="F646" s="3">
        <v>1.4103759665484671E-2</v>
      </c>
      <c r="G646" s="3">
        <v>1.2104580063652602E-2</v>
      </c>
      <c r="H646" s="3">
        <f>(Sheet1!$Y$19*' Rolling-window portfolio analy'!B646+Sheet1!$Z$19*' Rolling-window portfolio analy'!C646+Sheet1!$AA$19*' Rolling-window portfolio analy'!D646+Sheet1!$AB$19*' Rolling-window portfolio analy'!E646+Sheet1!$AC$19*' Rolling-window portfolio analy'!F646)</f>
        <v>-1.6413700992338937E-3</v>
      </c>
      <c r="I646" s="6">
        <f t="shared" si="18"/>
        <v>1.8201165805623447</v>
      </c>
      <c r="J646" s="86">
        <f t="shared" si="19"/>
        <v>1.0519658677697922E-4</v>
      </c>
    </row>
    <row r="647" spans="1:10" x14ac:dyDescent="0.3">
      <c r="A647" s="2">
        <v>45091</v>
      </c>
      <c r="B647" s="3">
        <v>3.4852728195099562E-3</v>
      </c>
      <c r="C647" s="3">
        <v>4.7140363049327894E-2</v>
      </c>
      <c r="D647" s="3">
        <v>-7.4491130098051734E-3</v>
      </c>
      <c r="E647" s="3">
        <v>-7.6526741794874327E-3</v>
      </c>
      <c r="F647" s="3">
        <v>1.3080034391201867E-2</v>
      </c>
      <c r="G647" s="3">
        <v>8.1907206921961594E-4</v>
      </c>
      <c r="H647" s="3">
        <f>(Sheet1!$Y$19*' Rolling-window portfolio analy'!B647+Sheet1!$Z$19*' Rolling-window portfolio analy'!C647+Sheet1!$AA$19*' Rolling-window portfolio analy'!D647+Sheet1!$AB$19*' Rolling-window portfolio analy'!E647+Sheet1!$AC$19*' Rolling-window portfolio analy'!F647)</f>
        <v>3.0987386003992534E-2</v>
      </c>
      <c r="I647" s="6">
        <f t="shared" si="18"/>
        <v>1.8669436421568433</v>
      </c>
      <c r="J647" s="86">
        <f t="shared" si="19"/>
        <v>8.6446833547999423E-4</v>
      </c>
    </row>
    <row r="648" spans="1:10" x14ac:dyDescent="0.3">
      <c r="A648" s="2">
        <v>45090</v>
      </c>
      <c r="B648" s="3">
        <v>-2.615092746109284E-3</v>
      </c>
      <c r="C648" s="3">
        <v>3.8265538078953824E-2</v>
      </c>
      <c r="D648" s="3">
        <v>3.4927056700047136E-2</v>
      </c>
      <c r="E648" s="3">
        <v>1.2675286445778948E-2</v>
      </c>
      <c r="F648" s="3">
        <v>7.9926647440353004E-3</v>
      </c>
      <c r="G648" s="3">
        <v>6.9086648833658285E-3</v>
      </c>
      <c r="H648" s="3">
        <f>(Sheet1!$Y$19*' Rolling-window portfolio analy'!B648+Sheet1!$Z$19*' Rolling-window portfolio analy'!C648+Sheet1!$AA$19*' Rolling-window portfolio analy'!D648+Sheet1!$AB$19*' Rolling-window portfolio analy'!E648+Sheet1!$AC$19*' Rolling-window portfolio analy'!F648)</f>
        <v>2.5665671284041004E-2</v>
      </c>
      <c r="I648" s="6">
        <f t="shared" si="18"/>
        <v>1.9019549970054033</v>
      </c>
      <c r="J648" s="86">
        <f t="shared" si="19"/>
        <v>1.2681575892509627E-3</v>
      </c>
    </row>
    <row r="649" spans="1:10" x14ac:dyDescent="0.3">
      <c r="A649" s="2">
        <v>45089</v>
      </c>
      <c r="B649" s="3">
        <v>1.5517789109572321E-2</v>
      </c>
      <c r="C649" s="3">
        <v>1.8147462882442924E-2</v>
      </c>
      <c r="D649" s="3">
        <v>2.1974459259941983E-2</v>
      </c>
      <c r="E649" s="3">
        <v>-7.3578927270849621E-3</v>
      </c>
      <c r="F649" s="3">
        <v>2.7816429618767705E-3</v>
      </c>
      <c r="G649" s="3">
        <v>9.2779026656844323E-3</v>
      </c>
      <c r="H649" s="3">
        <f>(Sheet1!$Y$19*' Rolling-window portfolio analy'!B649+Sheet1!$Z$19*' Rolling-window portfolio analy'!C649+Sheet1!$AA$19*' Rolling-window portfolio analy'!D649+Sheet1!$AB$19*' Rolling-window portfolio analy'!E649+Sheet1!$AC$19*' Rolling-window portfolio analy'!F649)</f>
        <v>1.5080991668150256E-2</v>
      </c>
      <c r="I649" s="6">
        <f t="shared" si="18"/>
        <v>1.8697294873461021</v>
      </c>
      <c r="J649" s="86">
        <f t="shared" si="19"/>
        <v>1.4544329728334643E-3</v>
      </c>
    </row>
    <row r="650" spans="1:10" x14ac:dyDescent="0.3">
      <c r="A650" s="2">
        <v>45086</v>
      </c>
      <c r="B650" s="3">
        <v>2.1574981400213143E-3</v>
      </c>
      <c r="C650" s="3">
        <v>6.7288038560202766E-3</v>
      </c>
      <c r="D650" s="3">
        <v>3.981663536050517E-2</v>
      </c>
      <c r="E650" s="3">
        <v>-9.2869655868701422E-3</v>
      </c>
      <c r="F650" s="3">
        <v>-7.7077612979326478E-3</v>
      </c>
      <c r="G650" s="3">
        <v>1.1474737636884458E-3</v>
      </c>
      <c r="H650" s="3">
        <f>(Sheet1!$Y$19*' Rolling-window portfolio analy'!B650+Sheet1!$Z$19*' Rolling-window portfolio analy'!C650+Sheet1!$AA$19*' Rolling-window portfolio analy'!D650+Sheet1!$AB$19*' Rolling-window portfolio analy'!E650+Sheet1!$AC$19*' Rolling-window portfolio analy'!F650)</f>
        <v>4.1327413600244873E-3</v>
      </c>
      <c r="I650" s="6">
        <f t="shared" si="18"/>
        <v>1.8179375102518232</v>
      </c>
      <c r="J650" s="86">
        <f t="shared" si="19"/>
        <v>1.7864230596969987E-3</v>
      </c>
    </row>
    <row r="651" spans="1:10" x14ac:dyDescent="0.3">
      <c r="A651" s="2">
        <v>45085</v>
      </c>
      <c r="B651" s="3">
        <v>1.5346711534796179E-2</v>
      </c>
      <c r="C651" s="3">
        <v>2.7377335021221472E-2</v>
      </c>
      <c r="D651" s="3">
        <v>4.4802129346485114E-2</v>
      </c>
      <c r="E651" s="3">
        <v>-1.148871983324466E-2</v>
      </c>
      <c r="F651" s="3">
        <v>-6.1406203955940975E-4</v>
      </c>
      <c r="G651" s="3">
        <v>6.16953524709693E-3</v>
      </c>
      <c r="H651" s="3">
        <f>(Sheet1!$Y$19*' Rolling-window portfolio analy'!B651+Sheet1!$Z$19*' Rolling-window portfolio analy'!C651+Sheet1!$AA$19*' Rolling-window portfolio analy'!D651+Sheet1!$AB$19*' Rolling-window portfolio analy'!E651+Sheet1!$AC$19*' Rolling-window portfolio analy'!F651)</f>
        <v>2.0730266804930127E-2</v>
      </c>
      <c r="I651" s="6">
        <f t="shared" si="18"/>
        <v>1.8487628149671704</v>
      </c>
      <c r="J651" s="86">
        <f t="shared" si="19"/>
        <v>1.7667907781259394E-3</v>
      </c>
    </row>
    <row r="652" spans="1:10" x14ac:dyDescent="0.3">
      <c r="A652" s="2">
        <v>45084</v>
      </c>
      <c r="B652" s="3">
        <v>-7.7864998623044576E-3</v>
      </c>
      <c r="C652" s="3">
        <v>-3.1006162227835001E-2</v>
      </c>
      <c r="D652" s="3">
        <v>1.4623029026129395E-2</v>
      </c>
      <c r="E652" s="3">
        <v>1.6331867095783778E-3</v>
      </c>
      <c r="F652" s="3">
        <v>1.9839460387032534E-2</v>
      </c>
      <c r="G652" s="3">
        <v>-3.8192757067673886E-3</v>
      </c>
      <c r="H652" s="3">
        <f>(Sheet1!$Y$19*' Rolling-window portfolio analy'!B652+Sheet1!$Z$19*' Rolling-window portfolio analy'!C652+Sheet1!$AA$19*' Rolling-window portfolio analy'!D652+Sheet1!$AB$19*' Rolling-window portfolio analy'!E652+Sheet1!$AC$19*' Rolling-window portfolio analy'!F652)</f>
        <v>-2.2052886974250303E-2</v>
      </c>
      <c r="I652" s="6">
        <f t="shared" si="18"/>
        <v>1.8829197846641104</v>
      </c>
      <c r="J652" s="86">
        <f t="shared" si="19"/>
        <v>1.675894198919772E-3</v>
      </c>
    </row>
    <row r="653" spans="1:10" x14ac:dyDescent="0.3">
      <c r="A653" s="2">
        <v>45083</v>
      </c>
      <c r="B653" s="3">
        <v>-2.0624885373653236E-3</v>
      </c>
      <c r="C653" s="3">
        <v>-1.336437264430901E-2</v>
      </c>
      <c r="D653" s="3">
        <v>1.685996375611918E-2</v>
      </c>
      <c r="E653" s="3">
        <v>3.0536723860081487E-2</v>
      </c>
      <c r="F653" s="3">
        <v>-5.9310303409007325E-3</v>
      </c>
      <c r="G653" s="3">
        <v>2.3511165774900327E-3</v>
      </c>
      <c r="H653" s="3">
        <f>(Sheet1!$Y$19*' Rolling-window portfolio analy'!B653+Sheet1!$Z$19*' Rolling-window portfolio analy'!C653+Sheet1!$AA$19*' Rolling-window portfolio analy'!D653+Sheet1!$AB$19*' Rolling-window portfolio analy'!E653+Sheet1!$AC$19*' Rolling-window portfolio analy'!F653)</f>
        <v>-6.334482436159047E-3</v>
      </c>
      <c r="I653" s="6">
        <f t="shared" si="18"/>
        <v>1.8793750369817961</v>
      </c>
      <c r="J653" s="86">
        <f t="shared" si="19"/>
        <v>1.4180160666050501E-3</v>
      </c>
    </row>
    <row r="654" spans="1:10" x14ac:dyDescent="0.3">
      <c r="A654" s="2">
        <v>45082</v>
      </c>
      <c r="B654" s="3">
        <v>-7.5999589170887821E-3</v>
      </c>
      <c r="C654" s="3">
        <v>-4.0764387659781411E-3</v>
      </c>
      <c r="D654" s="3">
        <v>1.6868651529341906E-2</v>
      </c>
      <c r="E654" s="3">
        <v>3.0379770200768012E-3</v>
      </c>
      <c r="F654" s="3">
        <v>6.5574005461590396E-3</v>
      </c>
      <c r="G654" s="3">
        <v>-2.0055732655681105E-3</v>
      </c>
      <c r="H654" s="3">
        <f>(Sheet1!$Y$19*' Rolling-window portfolio analy'!B654+Sheet1!$Z$19*' Rolling-window portfolio analy'!C654+Sheet1!$AA$19*' Rolling-window portfolio analy'!D654+Sheet1!$AB$19*' Rolling-window portfolio analy'!E654+Sheet1!$AC$19*' Rolling-window portfolio analy'!F654)</f>
        <v>-4.239810589443953E-3</v>
      </c>
      <c r="I654" s="6">
        <f t="shared" si="18"/>
        <v>1.8783489913391294</v>
      </c>
      <c r="J654" s="86">
        <f t="shared" si="19"/>
        <v>1.3473575474040808E-3</v>
      </c>
    </row>
    <row r="655" spans="1:10" x14ac:dyDescent="0.3">
      <c r="A655" s="2">
        <v>45079</v>
      </c>
      <c r="B655" s="3">
        <v>4.764024077889918E-3</v>
      </c>
      <c r="C655" s="3">
        <v>-1.1125272775881186E-2</v>
      </c>
      <c r="D655" s="3">
        <v>3.0608097710725753E-2</v>
      </c>
      <c r="E655" s="3">
        <v>3.3342150220634852E-2</v>
      </c>
      <c r="F655" s="3">
        <v>1.706202527672155E-2</v>
      </c>
      <c r="G655" s="3">
        <v>1.442978965214366E-2</v>
      </c>
      <c r="H655" s="3">
        <f>(Sheet1!$Y$19*' Rolling-window portfolio analy'!B655+Sheet1!$Z$19*' Rolling-window portfolio analy'!C655+Sheet1!$AA$19*' Rolling-window portfolio analy'!D655+Sheet1!$AB$19*' Rolling-window portfolio analy'!E655+Sheet1!$AC$19*' Rolling-window portfolio analy'!F655)</f>
        <v>-2.8799774416547433E-3</v>
      </c>
      <c r="I655" s="6">
        <f t="shared" si="18"/>
        <v>1.6942956100322419</v>
      </c>
      <c r="J655" s="86">
        <f t="shared" si="19"/>
        <v>8.7840318702718631E-4</v>
      </c>
    </row>
    <row r="656" spans="1:10" x14ac:dyDescent="0.3">
      <c r="A656" s="2">
        <v>45078</v>
      </c>
      <c r="B656" s="3">
        <v>1.5895560519624617E-2</v>
      </c>
      <c r="C656" s="3">
        <v>5.0010420574661416E-2</v>
      </c>
      <c r="D656" s="3">
        <v>1.7450922863877952E-2</v>
      </c>
      <c r="E656" s="3">
        <v>4.8702785952765726E-2</v>
      </c>
      <c r="F656" s="3">
        <v>2.2885769178726353E-2</v>
      </c>
      <c r="G656" s="3">
        <v>9.806229149665344E-3</v>
      </c>
      <c r="H656" s="3">
        <f>(Sheet1!$Y$19*' Rolling-window portfolio analy'!B656+Sheet1!$Z$19*' Rolling-window portfolio analy'!C656+Sheet1!$AA$19*' Rolling-window portfolio analy'!D656+Sheet1!$AB$19*' Rolling-window portfolio analy'!E656+Sheet1!$AC$19*' Rolling-window portfolio analy'!F656)</f>
        <v>4.1343553753668445E-2</v>
      </c>
      <c r="I656" s="6">
        <f t="shared" si="18"/>
        <v>1.7666553830257297</v>
      </c>
      <c r="J656" s="86">
        <f t="shared" si="19"/>
        <v>1.1611081902338112E-3</v>
      </c>
    </row>
    <row r="657" spans="1:10" x14ac:dyDescent="0.3">
      <c r="A657" s="2">
        <v>45077</v>
      </c>
      <c r="B657" s="3">
        <v>-2.820476679253569E-4</v>
      </c>
      <c r="C657" s="3">
        <v>-5.8523241137023653E-2</v>
      </c>
      <c r="D657" s="3">
        <v>1.367618640049169E-2</v>
      </c>
      <c r="E657" s="3">
        <v>-1.998249958733829E-2</v>
      </c>
      <c r="F657" s="3">
        <v>-9.7340158589511155E-3</v>
      </c>
      <c r="G657" s="3">
        <v>-6.1273722329718457E-3</v>
      </c>
      <c r="H657" s="3">
        <f>(Sheet1!$Y$19*' Rolling-window portfolio analy'!B657+Sheet1!$Z$19*' Rolling-window portfolio analy'!C657+Sheet1!$AA$19*' Rolling-window portfolio analy'!D657+Sheet1!$AB$19*' Rolling-window portfolio analy'!E657+Sheet1!$AC$19*' Rolling-window portfolio analy'!F657)</f>
        <v>-4.0252721211950428E-2</v>
      </c>
      <c r="I657" s="6">
        <f t="shared" si="18"/>
        <v>1.9006725443764552</v>
      </c>
      <c r="J657" s="86">
        <f t="shared" si="19"/>
        <v>1.0070038661462728E-3</v>
      </c>
    </row>
    <row r="658" spans="1:10" x14ac:dyDescent="0.3">
      <c r="A658" s="2">
        <v>45076</v>
      </c>
      <c r="B658" s="3">
        <v>1.0603110139068832E-2</v>
      </c>
      <c r="C658" s="3">
        <v>2.93469074652042E-2</v>
      </c>
      <c r="D658" s="3">
        <v>4.0529981085562244E-2</v>
      </c>
      <c r="E658" s="3">
        <v>-3.2321809428062227E-3</v>
      </c>
      <c r="F658" s="3">
        <v>5.1796813765348096E-3</v>
      </c>
      <c r="G658" s="3">
        <v>1.6644929182328236E-5</v>
      </c>
      <c r="H658" s="3">
        <f>(Sheet1!$Y$19*' Rolling-window portfolio analy'!B658+Sheet1!$Z$19*' Rolling-window portfolio analy'!C658+Sheet1!$AA$19*' Rolling-window portfolio analy'!D658+Sheet1!$AB$19*' Rolling-window portfolio analy'!E658+Sheet1!$AC$19*' Rolling-window portfolio analy'!F658)</f>
        <v>2.1615456066041133E-2</v>
      </c>
      <c r="I658" s="6">
        <f t="shared" si="18"/>
        <v>1.9993783595336636</v>
      </c>
      <c r="J658" s="86">
        <f t="shared" si="19"/>
        <v>9.7736300117819835E-4</v>
      </c>
    </row>
    <row r="659" spans="1:10" x14ac:dyDescent="0.3">
      <c r="A659" s="2">
        <v>45072</v>
      </c>
      <c r="B659" s="3">
        <v>1.4006313582207318E-2</v>
      </c>
      <c r="C659" s="3">
        <v>2.5219066932617568E-2</v>
      </c>
      <c r="D659" s="3">
        <v>4.6083781584713691E-2</v>
      </c>
      <c r="E659" s="3">
        <v>-3.9363085358063024E-3</v>
      </c>
      <c r="F659" s="3">
        <v>-3.5639111106447064E-3</v>
      </c>
      <c r="G659" s="3">
        <v>1.296458273531355E-2</v>
      </c>
      <c r="H659" s="3">
        <f>(Sheet1!$Y$19*' Rolling-window portfolio analy'!B659+Sheet1!$Z$19*' Rolling-window portfolio analy'!C659+Sheet1!$AA$19*' Rolling-window portfolio analy'!D659+Sheet1!$AB$19*' Rolling-window portfolio analy'!E659+Sheet1!$AC$19*' Rolling-window portfolio analy'!F659)</f>
        <v>1.9702790168738455E-2</v>
      </c>
      <c r="I659" s="6">
        <f t="shared" si="18"/>
        <v>1.9503409911027738</v>
      </c>
      <c r="J659" s="86">
        <f t="shared" si="19"/>
        <v>8.3311640684243828E-4</v>
      </c>
    </row>
    <row r="660" spans="1:10" x14ac:dyDescent="0.3">
      <c r="A660" s="2">
        <v>45071</v>
      </c>
      <c r="B660" s="3">
        <v>6.6699780383861051E-3</v>
      </c>
      <c r="C660" s="3">
        <v>0.21802240559365338</v>
      </c>
      <c r="D660" s="3">
        <v>8.5472932366680611E-3</v>
      </c>
      <c r="E660" s="3">
        <v>-2.5389234004819464E-2</v>
      </c>
      <c r="F660" s="3">
        <v>9.7071678873096091E-4</v>
      </c>
      <c r="G660" s="3">
        <v>8.719564785563249E-3</v>
      </c>
      <c r="H660" s="3">
        <f>(Sheet1!$Y$19*' Rolling-window portfolio analy'!B660+Sheet1!$Z$19*' Rolling-window portfolio analy'!C660+Sheet1!$AA$19*' Rolling-window portfolio analy'!D660+Sheet1!$AB$19*' Rolling-window portfolio analy'!E660+Sheet1!$AC$19*' Rolling-window portfolio analy'!F660)</f>
        <v>0.14199260577111303</v>
      </c>
      <c r="I660" s="6">
        <f t="shared" si="18"/>
        <v>2.3017410684039019</v>
      </c>
      <c r="J660" s="86">
        <f t="shared" si="19"/>
        <v>2.7581041036188183E-3</v>
      </c>
    </row>
    <row r="661" spans="1:10" x14ac:dyDescent="0.3">
      <c r="A661" s="2">
        <v>45070</v>
      </c>
      <c r="B661" s="3">
        <v>1.6307516718202389E-3</v>
      </c>
      <c r="C661" s="3">
        <v>-4.899568841158536E-3</v>
      </c>
      <c r="D661" s="3">
        <v>-1.5569794006492834E-2</v>
      </c>
      <c r="E661" s="3">
        <v>1.1204599012863062E-2</v>
      </c>
      <c r="F661" s="3">
        <v>-2.3041019297035999E-2</v>
      </c>
      <c r="G661" s="3">
        <v>-7.3455507858671458E-3</v>
      </c>
      <c r="H661" s="3">
        <f>(Sheet1!$Y$19*' Rolling-window portfolio analy'!B661+Sheet1!$Z$19*' Rolling-window portfolio analy'!C661+Sheet1!$AA$19*' Rolling-window portfolio analy'!D661+Sheet1!$AB$19*' Rolling-window portfolio analy'!E661+Sheet1!$AC$19*' Rolling-window portfolio analy'!F661)</f>
        <v>-1.7672902010262589E-3</v>
      </c>
      <c r="I661" s="6">
        <f t="shared" si="18"/>
        <v>2.1782188837446408</v>
      </c>
      <c r="J661" s="86">
        <f t="shared" si="19"/>
        <v>2.4497416011580696E-3</v>
      </c>
    </row>
    <row r="662" spans="1:10" x14ac:dyDescent="0.3">
      <c r="A662" s="2">
        <v>45069</v>
      </c>
      <c r="B662" s="3">
        <v>-1.5271004769722592E-2</v>
      </c>
      <c r="C662" s="3">
        <v>-1.5839994997985635E-2</v>
      </c>
      <c r="D662" s="3">
        <v>-1.6549598304441932E-2</v>
      </c>
      <c r="E662" s="3">
        <v>1.0568963464002538E-3</v>
      </c>
      <c r="F662" s="3">
        <v>-9.1324835632724741E-3</v>
      </c>
      <c r="G662" s="3">
        <v>-1.1285515564489972E-2</v>
      </c>
      <c r="H662" s="3">
        <f>(Sheet1!$Y$19*' Rolling-window portfolio analy'!B662+Sheet1!$Z$19*' Rolling-window portfolio analy'!C662+Sheet1!$AA$19*' Rolling-window portfolio analy'!D662+Sheet1!$AB$19*' Rolling-window portfolio analy'!E662+Sheet1!$AC$19*' Rolling-window portfolio analy'!F662)</f>
        <v>-1.4096931586450758E-2</v>
      </c>
      <c r="I662" s="6">
        <f t="shared" si="18"/>
        <v>2.1420823717217572</v>
      </c>
      <c r="J662" s="86">
        <f t="shared" si="19"/>
        <v>2.6196630290953116E-3</v>
      </c>
    </row>
    <row r="663" spans="1:10" x14ac:dyDescent="0.3">
      <c r="A663" s="2">
        <v>45068</v>
      </c>
      <c r="B663" s="3">
        <v>-5.4957775147952293E-3</v>
      </c>
      <c r="C663" s="3">
        <v>-2.5624613637001614E-3</v>
      </c>
      <c r="D663" s="3">
        <v>4.7324621352157939E-2</v>
      </c>
      <c r="E663" s="3">
        <v>7.0746669324787915E-3</v>
      </c>
      <c r="F663" s="3">
        <v>-1.2770770045608169E-2</v>
      </c>
      <c r="G663" s="3">
        <v>1.550459714410593E-4</v>
      </c>
      <c r="H663" s="3">
        <f>(Sheet1!$Y$19*' Rolling-window portfolio analy'!B663+Sheet1!$Z$19*' Rolling-window portfolio analy'!C663+Sheet1!$AA$19*' Rolling-window portfolio analy'!D663+Sheet1!$AB$19*' Rolling-window portfolio analy'!E663+Sheet1!$AC$19*' Rolling-window portfolio analy'!F663)</f>
        <v>-2.2872625209469106E-3</v>
      </c>
      <c r="I663" s="6">
        <f t="shared" si="18"/>
        <v>2.1687185879727093</v>
      </c>
      <c r="J663" s="86">
        <f t="shared" si="19"/>
        <v>2.3857741974789726E-3</v>
      </c>
    </row>
    <row r="664" spans="1:10" x14ac:dyDescent="0.3">
      <c r="A664" s="2">
        <v>45065</v>
      </c>
      <c r="B664" s="3">
        <v>6.2819453252280992E-4</v>
      </c>
      <c r="C664" s="3">
        <v>-1.3346241952894487E-2</v>
      </c>
      <c r="D664" s="3">
        <v>1.8206255900180657E-2</v>
      </c>
      <c r="E664" s="3">
        <v>-3.5492458225283151E-4</v>
      </c>
      <c r="F664" s="3">
        <v>-2.4729533468309741E-3</v>
      </c>
      <c r="G664" s="3">
        <v>-1.4469557460591439E-3</v>
      </c>
      <c r="H664" s="3">
        <f>(Sheet1!$Y$19*' Rolling-window portfolio analy'!B664+Sheet1!$Z$19*' Rolling-window portfolio analy'!C664+Sheet1!$AA$19*' Rolling-window portfolio analy'!D664+Sheet1!$AB$19*' Rolling-window portfolio analy'!E664+Sheet1!$AC$19*' Rolling-window portfolio analy'!F664)</f>
        <v>-8.5814512286664802E-3</v>
      </c>
      <c r="I664" s="6">
        <f t="shared" si="18"/>
        <v>2.1947274741696319</v>
      </c>
      <c r="J664" s="86">
        <f t="shared" si="19"/>
        <v>2.1412167307779412E-3</v>
      </c>
    </row>
    <row r="665" spans="1:10" x14ac:dyDescent="0.3">
      <c r="A665" s="2">
        <v>45064</v>
      </c>
      <c r="B665" s="3">
        <v>1.3573567804096048E-2</v>
      </c>
      <c r="C665" s="3">
        <v>4.8506113606522343E-2</v>
      </c>
      <c r="D665" s="3">
        <v>1.7277692804497764E-2</v>
      </c>
      <c r="E665" s="3">
        <v>2.5154039116385498E-2</v>
      </c>
      <c r="F665" s="3">
        <v>1.3677552359694053E-2</v>
      </c>
      <c r="G665" s="3">
        <v>9.4007742847056677E-3</v>
      </c>
      <c r="H665" s="3">
        <f>(Sheet1!$Y$19*' Rolling-window portfolio analy'!B665+Sheet1!$Z$19*' Rolling-window portfolio analy'!C665+Sheet1!$AA$19*' Rolling-window portfolio analy'!D665+Sheet1!$AB$19*' Rolling-window portfolio analy'!E665+Sheet1!$AC$19*' Rolling-window portfolio analy'!F665)</f>
        <v>3.7547164161353452E-2</v>
      </c>
      <c r="I665" s="6">
        <f t="shared" si="18"/>
        <v>2.3607423290132727</v>
      </c>
      <c r="J665" s="86">
        <f t="shared" si="19"/>
        <v>1.8230571022019608E-3</v>
      </c>
    </row>
    <row r="666" spans="1:10" x14ac:dyDescent="0.3">
      <c r="A666" s="2">
        <v>45063</v>
      </c>
      <c r="B666" s="3">
        <v>3.5967088315124198E-3</v>
      </c>
      <c r="C666" s="3">
        <v>3.2668336940053222E-2</v>
      </c>
      <c r="D666" s="3">
        <v>4.3134955324143527E-2</v>
      </c>
      <c r="E666" s="3">
        <v>1.4566644964641641E-3</v>
      </c>
      <c r="F666" s="3">
        <v>8.4866138773187251E-3</v>
      </c>
      <c r="G666" s="3">
        <v>1.1820660164447881E-2</v>
      </c>
      <c r="H666" s="3">
        <f>(Sheet1!$Y$19*' Rolling-window portfolio analy'!B666+Sheet1!$Z$19*' Rolling-window portfolio analy'!C666+Sheet1!$AA$19*' Rolling-window portfolio analy'!D666+Sheet1!$AB$19*' Rolling-window portfolio analy'!E666+Sheet1!$AC$19*' Rolling-window portfolio analy'!F666)</f>
        <v>2.249694873584538E-2</v>
      </c>
      <c r="I666" s="6">
        <f t="shared" si="18"/>
        <v>2.2796782513038201</v>
      </c>
      <c r="J666" s="86">
        <f t="shared" si="19"/>
        <v>1.2772003724676501E-3</v>
      </c>
    </row>
    <row r="667" spans="1:10" x14ac:dyDescent="0.3">
      <c r="A667" s="2">
        <v>45062</v>
      </c>
      <c r="B667" s="3">
        <v>0</v>
      </c>
      <c r="C667" s="3">
        <v>8.9409123806453196E-3</v>
      </c>
      <c r="D667" s="3">
        <v>1.0214198622891175E-3</v>
      </c>
      <c r="E667" s="3">
        <v>-1.6266398781713098E-2</v>
      </c>
      <c r="F667" s="3">
        <v>-1.0362787035546547E-2</v>
      </c>
      <c r="G667" s="3">
        <v>-6.398135861993161E-3</v>
      </c>
      <c r="H667" s="3">
        <f>(Sheet1!$Y$19*' Rolling-window portfolio analy'!B667+Sheet1!$Z$19*' Rolling-window portfolio analy'!C667+Sheet1!$AA$19*' Rolling-window portfolio analy'!D667+Sheet1!$AB$19*' Rolling-window portfolio analy'!E667+Sheet1!$AC$19*' Rolling-window portfolio analy'!F667)</f>
        <v>4.3119149582622387E-3</v>
      </c>
      <c r="I667" s="6">
        <f t="shared" si="18"/>
        <v>2.2079770943350527</v>
      </c>
      <c r="J667" s="86">
        <f t="shared" si="19"/>
        <v>2.0340015256750904E-3</v>
      </c>
    </row>
    <row r="668" spans="1:10" x14ac:dyDescent="0.3">
      <c r="A668" s="2">
        <v>45061</v>
      </c>
      <c r="B668" s="3">
        <v>-2.9015804944212843E-3</v>
      </c>
      <c r="C668" s="3">
        <v>2.1295969756469954E-2</v>
      </c>
      <c r="D668" s="3">
        <v>-9.7509222329953404E-3</v>
      </c>
      <c r="E668" s="3">
        <v>8.2808754027854335E-3</v>
      </c>
      <c r="F668" s="3">
        <v>5.9533310721307121E-3</v>
      </c>
      <c r="G668" s="3">
        <v>2.9538685652344835E-3</v>
      </c>
      <c r="H668" s="3">
        <f>(Sheet1!$Y$19*' Rolling-window portfolio analy'!B668+Sheet1!$Z$19*' Rolling-window portfolio analy'!C668+Sheet1!$AA$19*' Rolling-window portfolio analy'!D668+Sheet1!$AB$19*' Rolling-window portfolio analy'!E668+Sheet1!$AC$19*' Rolling-window portfolio analy'!F668)</f>
        <v>1.3987530201134616E-2</v>
      </c>
      <c r="I668" s="6">
        <f t="shared" si="18"/>
        <v>2.2084645149622544</v>
      </c>
      <c r="J668" s="86">
        <f t="shared" si="19"/>
        <v>2.2474374594635377E-3</v>
      </c>
    </row>
    <row r="669" spans="1:10" x14ac:dyDescent="0.3">
      <c r="A669" s="2">
        <v>45058</v>
      </c>
      <c r="B669" s="3">
        <v>-6.8145331854140029E-3</v>
      </c>
      <c r="C669" s="3">
        <v>-8.4329382391868796E-3</v>
      </c>
      <c r="D669" s="3">
        <v>-2.4114560261993732E-2</v>
      </c>
      <c r="E669" s="3">
        <v>1.0905233482262527E-2</v>
      </c>
      <c r="F669" s="3">
        <v>9.4324798692956783E-4</v>
      </c>
      <c r="G669" s="3">
        <v>-1.5845521626198357E-3</v>
      </c>
      <c r="H669" s="3">
        <f>(Sheet1!$Y$19*' Rolling-window portfolio analy'!B669+Sheet1!$Z$19*' Rolling-window portfolio analy'!C669+Sheet1!$AA$19*' Rolling-window portfolio analy'!D669+Sheet1!$AB$19*' Rolling-window portfolio analy'!E669+Sheet1!$AC$19*' Rolling-window portfolio analy'!F669)</f>
        <v>-6.2244761263497038E-3</v>
      </c>
      <c r="I669" s="6">
        <f t="shared" si="18"/>
        <v>2.151218432662509</v>
      </c>
      <c r="J669" s="86">
        <f t="shared" si="19"/>
        <v>2.5604281854799968E-3</v>
      </c>
    </row>
    <row r="670" spans="1:10" x14ac:dyDescent="0.3">
      <c r="A670" s="2">
        <v>45057</v>
      </c>
      <c r="B670" s="3">
        <v>1.1517421371061069E-3</v>
      </c>
      <c r="C670" s="3">
        <v>-1.0788341976422557E-2</v>
      </c>
      <c r="D670" s="3">
        <v>2.0786374615267507E-2</v>
      </c>
      <c r="E670" s="3">
        <v>-1.9186108885047893E-2</v>
      </c>
      <c r="F670" s="3">
        <v>-6.2893083834141591E-4</v>
      </c>
      <c r="G670" s="3">
        <v>-1.6980602174566785E-3</v>
      </c>
      <c r="H670" s="3">
        <f>(Sheet1!$Y$19*' Rolling-window portfolio analy'!B670+Sheet1!$Z$19*' Rolling-window portfolio analy'!C670+Sheet1!$AA$19*' Rolling-window portfolio analy'!D670+Sheet1!$AB$19*' Rolling-window portfolio analy'!E670+Sheet1!$AC$19*' Rolling-window portfolio analy'!F670)</f>
        <v>-8.558404010252884E-3</v>
      </c>
      <c r="I670" s="6">
        <f t="shared" si="18"/>
        <v>2.1538343432041716</v>
      </c>
      <c r="J670" s="86">
        <f t="shared" si="19"/>
        <v>2.4833917718107969E-3</v>
      </c>
    </row>
    <row r="671" spans="1:10" x14ac:dyDescent="0.3">
      <c r="A671" s="2">
        <v>45056</v>
      </c>
      <c r="B671" s="3">
        <v>1.0309369658861287E-2</v>
      </c>
      <c r="C671" s="3">
        <v>1.1138298235462181E-2</v>
      </c>
      <c r="D671" s="3">
        <v>-3.6127848825103161E-3</v>
      </c>
      <c r="E671" s="3">
        <v>-1.0699103486623568E-2</v>
      </c>
      <c r="F671" s="3">
        <v>-6.5800018075160439E-3</v>
      </c>
      <c r="G671" s="3">
        <v>4.4738902330266894E-3</v>
      </c>
      <c r="H671" s="3">
        <f>(Sheet1!$Y$19*' Rolling-window portfolio analy'!B671+Sheet1!$Z$19*' Rolling-window portfolio analy'!C671+Sheet1!$AA$19*' Rolling-window portfolio analy'!D671+Sheet1!$AB$19*' Rolling-window portfolio analy'!E671+Sheet1!$AC$19*' Rolling-window portfolio analy'!F671)</f>
        <v>8.8338917937857333E-3</v>
      </c>
      <c r="I671" s="6">
        <f t="shared" si="18"/>
        <v>2.1952603859914444</v>
      </c>
      <c r="J671" s="86">
        <f t="shared" si="19"/>
        <v>2.6315629225480515E-3</v>
      </c>
    </row>
    <row r="672" spans="1:10" x14ac:dyDescent="0.3">
      <c r="A672" s="2">
        <v>45055</v>
      </c>
      <c r="B672" s="3">
        <v>-1.0021226737979814E-2</v>
      </c>
      <c r="C672" s="3">
        <v>-2.0097696553819603E-2</v>
      </c>
      <c r="D672" s="3">
        <v>-1.5486905411636588E-2</v>
      </c>
      <c r="E672" s="3">
        <v>2.841920207580785E-3</v>
      </c>
      <c r="F672" s="3">
        <v>4.3818536465545111E-3</v>
      </c>
      <c r="G672" s="3">
        <v>-4.5898916638410408E-3</v>
      </c>
      <c r="H672" s="3">
        <f>(Sheet1!$Y$19*' Rolling-window portfolio analy'!B672+Sheet1!$Z$19*' Rolling-window portfolio analy'!C672+Sheet1!$AA$19*' Rolling-window portfolio analy'!D672+Sheet1!$AB$19*' Rolling-window portfolio analy'!E672+Sheet1!$AC$19*' Rolling-window portfolio analy'!F672)</f>
        <v>-1.5407421674960863E-2</v>
      </c>
      <c r="I672" s="6">
        <f t="shared" si="18"/>
        <v>2.2113506268179735</v>
      </c>
      <c r="J672" s="86">
        <f t="shared" si="19"/>
        <v>2.4970535401008403E-3</v>
      </c>
    </row>
    <row r="673" spans="1:10" x14ac:dyDescent="0.3">
      <c r="A673" s="2">
        <v>45054</v>
      </c>
      <c r="B673" s="3">
        <v>-4.0337684587633056E-4</v>
      </c>
      <c r="C673" s="3">
        <v>1.625489706508175E-2</v>
      </c>
      <c r="D673" s="3">
        <v>1.0121484680707614E-2</v>
      </c>
      <c r="E673" s="3">
        <v>-3.9055615062274038E-3</v>
      </c>
      <c r="F673" s="3">
        <v>6.2754944011183048E-4</v>
      </c>
      <c r="G673" s="3">
        <v>4.5199816586328297E-4</v>
      </c>
      <c r="H673" s="3">
        <f>(Sheet1!$Y$19*' Rolling-window portfolio analy'!B673+Sheet1!$Z$19*' Rolling-window portfolio analy'!C673+Sheet1!$AA$19*' Rolling-window portfolio analy'!D673+Sheet1!$AB$19*' Rolling-window portfolio analy'!E673+Sheet1!$AC$19*' Rolling-window portfolio analy'!F673)</f>
        <v>1.0188713894901993E-2</v>
      </c>
      <c r="I673" s="6">
        <f t="shared" si="18"/>
        <v>2.2171167492881421</v>
      </c>
      <c r="J673" s="86">
        <f t="shared" si="19"/>
        <v>2.5155752726473326E-3</v>
      </c>
    </row>
    <row r="674" spans="1:10" x14ac:dyDescent="0.3">
      <c r="A674" s="2">
        <v>45051</v>
      </c>
      <c r="B674" s="3">
        <v>4.5859048981416337E-2</v>
      </c>
      <c r="C674" s="3">
        <v>3.9834569585961925E-2</v>
      </c>
      <c r="D674" s="3">
        <v>5.3505485885118616E-2</v>
      </c>
      <c r="E674" s="3">
        <v>3.6078949201347882E-2</v>
      </c>
      <c r="F674" s="3">
        <v>1.7413769143588203E-2</v>
      </c>
      <c r="G674" s="3">
        <v>1.8306159168068423E-2</v>
      </c>
      <c r="H674" s="3">
        <f>(Sheet1!$Y$19*' Rolling-window portfolio analy'!B674+Sheet1!$Z$19*' Rolling-window portfolio analy'!C674+Sheet1!$AA$19*' Rolling-window portfolio analy'!D674+Sheet1!$AB$19*' Rolling-window portfolio analy'!E674+Sheet1!$AC$19*' Rolling-window portfolio analy'!F674)</f>
        <v>4.1001285149714913E-2</v>
      </c>
      <c r="I674" s="6">
        <f t="shared" si="18"/>
        <v>2.1532108623586659</v>
      </c>
      <c r="J674" s="86">
        <f t="shared" si="19"/>
        <v>2.7377184003736701E-3</v>
      </c>
    </row>
    <row r="675" spans="1:10" x14ac:dyDescent="0.3">
      <c r="A675" s="2">
        <v>45050</v>
      </c>
      <c r="B675" s="3">
        <v>-9.9628719888397669E-3</v>
      </c>
      <c r="C675" s="3">
        <v>-8.6705745511336425E-3</v>
      </c>
      <c r="D675" s="3">
        <v>3.6667639977219389E-3</v>
      </c>
      <c r="E675" s="3">
        <v>-8.7784031165050007E-3</v>
      </c>
      <c r="F675" s="3">
        <v>1.2210948641336143E-2</v>
      </c>
      <c r="G675" s="3">
        <v>-7.2449062412514361E-3</v>
      </c>
      <c r="H675" s="3">
        <f>(Sheet1!$Y$19*' Rolling-window portfolio analy'!B675+Sheet1!$Z$19*' Rolling-window portfolio analy'!C675+Sheet1!$AA$19*' Rolling-window portfolio analy'!D675+Sheet1!$AB$19*' Rolling-window portfolio analy'!E675+Sheet1!$AC$19*' Rolling-window portfolio analy'!F675)</f>
        <v>-8.9797992630657152E-3</v>
      </c>
      <c r="I675" s="6">
        <f t="shared" si="18"/>
        <v>2.1369727859167535</v>
      </c>
      <c r="J675" s="86">
        <f t="shared" si="19"/>
        <v>2.8518533224708405E-3</v>
      </c>
    </row>
    <row r="676" spans="1:10" x14ac:dyDescent="0.3">
      <c r="A676" s="2">
        <v>45049</v>
      </c>
      <c r="B676" s="3">
        <v>-6.4883111039937416E-3</v>
      </c>
      <c r="C676" s="3">
        <v>-1.4640504317313499E-2</v>
      </c>
      <c r="D676" s="3">
        <v>1.869625373223739E-3</v>
      </c>
      <c r="E676" s="3">
        <v>4.0138714718348069E-3</v>
      </c>
      <c r="F676" s="3">
        <v>-4.516136707977781E-3</v>
      </c>
      <c r="G676" s="3">
        <v>-7.0228890905811598E-3</v>
      </c>
      <c r="H676" s="3">
        <f>(Sheet1!$Y$19*' Rolling-window portfolio analy'!B676+Sheet1!$Z$19*' Rolling-window portfolio analy'!C676+Sheet1!$AA$19*' Rolling-window portfolio analy'!D676+Sheet1!$AB$19*' Rolling-window portfolio analy'!E676+Sheet1!$AC$19*' Rolling-window portfolio analy'!F676)</f>
        <v>-1.0813683552064154E-2</v>
      </c>
      <c r="I676" s="6">
        <f t="shared" si="18"/>
        <v>2.131466848924902</v>
      </c>
      <c r="J676" s="86">
        <f t="shared" si="19"/>
        <v>2.9579354747129418E-3</v>
      </c>
    </row>
    <row r="677" spans="1:10" x14ac:dyDescent="0.3">
      <c r="A677" s="2">
        <v>45048</v>
      </c>
      <c r="B677" s="3">
        <v>-6.2106490111019149E-3</v>
      </c>
      <c r="C677" s="3">
        <v>-2.4511031014349805E-2</v>
      </c>
      <c r="D677" s="3">
        <v>-9.4369608272119078E-3</v>
      </c>
      <c r="E677" s="3">
        <v>-5.4432785156635174E-2</v>
      </c>
      <c r="F677" s="3">
        <v>-7.3753741411514929E-3</v>
      </c>
      <c r="G677" s="3">
        <v>-1.1653897528004022E-2</v>
      </c>
      <c r="H677" s="3">
        <f>(Sheet1!$Y$19*' Rolling-window portfolio analy'!B677+Sheet1!$Z$19*' Rolling-window portfolio analy'!C677+Sheet1!$AA$19*' Rolling-window portfolio analy'!D677+Sheet1!$AB$19*' Rolling-window portfolio analy'!E677+Sheet1!$AC$19*' Rolling-window portfolio analy'!F677)</f>
        <v>-2.2771106108680439E-2</v>
      </c>
      <c r="I677" s="6">
        <f t="shared" si="18"/>
        <v>2.1536759785881587</v>
      </c>
      <c r="J677" s="86">
        <f t="shared" si="19"/>
        <v>3.0223663373901118E-3</v>
      </c>
    </row>
    <row r="678" spans="1:10" x14ac:dyDescent="0.3">
      <c r="A678" s="2">
        <v>45047</v>
      </c>
      <c r="B678" s="3">
        <v>-5.305509011179143E-4</v>
      </c>
      <c r="C678" s="3">
        <v>4.0951715835811191E-2</v>
      </c>
      <c r="D678" s="3">
        <v>-1.5208485934945544E-2</v>
      </c>
      <c r="E678" s="3">
        <v>-1.2388320856952203E-2</v>
      </c>
      <c r="F678" s="3">
        <v>2.1311752673717006E-2</v>
      </c>
      <c r="G678" s="3">
        <v>-3.8621384972729493E-4</v>
      </c>
      <c r="H678" s="3">
        <f>(Sheet1!$Y$19*' Rolling-window portfolio analy'!B678+Sheet1!$Z$19*' Rolling-window portfolio analy'!C678+Sheet1!$AA$19*' Rolling-window portfolio analy'!D678+Sheet1!$AB$19*' Rolling-window portfolio analy'!E678+Sheet1!$AC$19*' Rolling-window portfolio analy'!F678)</f>
        <v>2.5474066224514282E-2</v>
      </c>
      <c r="I678" s="6">
        <f t="shared" si="18"/>
        <v>2.1765665792228388</v>
      </c>
      <c r="J678" s="86">
        <f t="shared" si="19"/>
        <v>3.1584597426874629E-3</v>
      </c>
    </row>
    <row r="679" spans="1:10" x14ac:dyDescent="0.3">
      <c r="A679" s="2">
        <v>45044</v>
      </c>
      <c r="B679" s="3">
        <v>7.5128277884640464E-3</v>
      </c>
      <c r="C679" s="3">
        <v>1.8916533506775284E-2</v>
      </c>
      <c r="D679" s="3">
        <v>2.5394276750347666E-2</v>
      </c>
      <c r="E679" s="3">
        <v>1.3774322464829422E-2</v>
      </c>
      <c r="F679" s="3">
        <v>8.1927379436888895E-3</v>
      </c>
      <c r="G679" s="3">
        <v>8.2193596125703667E-3</v>
      </c>
      <c r="H679" s="3">
        <f>(Sheet1!$Y$19*' Rolling-window portfolio analy'!B679+Sheet1!$Z$19*' Rolling-window portfolio analy'!C679+Sheet1!$AA$19*' Rolling-window portfolio analy'!D679+Sheet1!$AB$19*' Rolling-window portfolio analy'!E679+Sheet1!$AC$19*' Rolling-window portfolio analy'!F679)</f>
        <v>1.5604584632846403E-2</v>
      </c>
      <c r="I679" s="6">
        <f t="shared" si="18"/>
        <v>2.1605700864870094</v>
      </c>
      <c r="J679" s="86">
        <f t="shared" si="19"/>
        <v>3.1843654818485205E-3</v>
      </c>
    </row>
    <row r="680" spans="1:10" x14ac:dyDescent="0.3">
      <c r="A680" s="2">
        <v>45043</v>
      </c>
      <c r="B680" s="3">
        <v>2.7999541114928781E-2</v>
      </c>
      <c r="C680" s="3">
        <v>9.9650206415618885E-3</v>
      </c>
      <c r="D680" s="3">
        <v>4.1032704026764823E-2</v>
      </c>
      <c r="E680" s="3">
        <v>2.7777795639023694E-3</v>
      </c>
      <c r="F680" s="3">
        <v>8.2604137303523683E-3</v>
      </c>
      <c r="G680" s="3">
        <v>1.9377167380002121E-2</v>
      </c>
      <c r="H680" s="3">
        <f>(Sheet1!$Y$19*' Rolling-window portfolio analy'!B680+Sheet1!$Z$19*' Rolling-window portfolio analy'!C680+Sheet1!$AA$19*' Rolling-window portfolio analy'!D680+Sheet1!$AB$19*' Rolling-window portfolio analy'!E680+Sheet1!$AC$19*' Rolling-window portfolio analy'!F680)</f>
        <v>1.382445014508725E-2</v>
      </c>
      <c r="I680" s="6">
        <f t="shared" si="18"/>
        <v>1.982279064959898</v>
      </c>
      <c r="J680" s="86">
        <f t="shared" si="19"/>
        <v>2.861762283373336E-3</v>
      </c>
    </row>
    <row r="681" spans="1:10" x14ac:dyDescent="0.3">
      <c r="A681" s="2">
        <v>45042</v>
      </c>
      <c r="B681" s="3">
        <v>-6.10631087419618E-5</v>
      </c>
      <c r="C681" s="3">
        <v>2.7069321968218124E-2</v>
      </c>
      <c r="D681" s="3">
        <v>-4.4024665368616392E-2</v>
      </c>
      <c r="E681" s="3">
        <v>-1.8260627986796125E-2</v>
      </c>
      <c r="F681" s="3">
        <v>-2.4902990705350306E-2</v>
      </c>
      <c r="G681" s="3">
        <v>-3.8486098771117832E-3</v>
      </c>
      <c r="H681" s="3">
        <f>(Sheet1!$Y$19*' Rolling-window portfolio analy'!B681+Sheet1!$Z$19*' Rolling-window portfolio analy'!C681+Sheet1!$AA$19*' Rolling-window portfolio analy'!D681+Sheet1!$AB$19*' Rolling-window portfolio analy'!E681+Sheet1!$AC$19*' Rolling-window portfolio analy'!F681)</f>
        <v>1.5893493659432295E-2</v>
      </c>
      <c r="I681" s="6">
        <f t="shared" si="18"/>
        <v>1.9472652269474242</v>
      </c>
      <c r="J681" s="86">
        <f t="shared" si="19"/>
        <v>3.3339711334019182E-3</v>
      </c>
    </row>
    <row r="682" spans="1:10" x14ac:dyDescent="0.3">
      <c r="A682" s="2">
        <v>45041</v>
      </c>
      <c r="B682" s="3">
        <v>-9.4804721014777864E-3</v>
      </c>
      <c r="C682" s="3">
        <v>-3.003228709887509E-2</v>
      </c>
      <c r="D682" s="3">
        <v>-1.1633074694670812E-2</v>
      </c>
      <c r="E682" s="3">
        <v>-3.026458287910537E-2</v>
      </c>
      <c r="F682" s="3">
        <v>-1.5414563401186731E-2</v>
      </c>
      <c r="G682" s="3">
        <v>-1.5937145594967939E-2</v>
      </c>
      <c r="H682" s="3">
        <f>(Sheet1!$Y$19*' Rolling-window portfolio analy'!B682+Sheet1!$Z$19*' Rolling-window portfolio analy'!C682+Sheet1!$AA$19*' Rolling-window portfolio analy'!D682+Sheet1!$AB$19*' Rolling-window portfolio analy'!E682+Sheet1!$AC$19*' Rolling-window portfolio analy'!F682)</f>
        <v>-2.491007436698817E-2</v>
      </c>
      <c r="I682" s="6">
        <f t="shared" si="18"/>
        <v>1.924789037208702</v>
      </c>
      <c r="J682" s="86">
        <f t="shared" si="19"/>
        <v>3.7625050251019112E-3</v>
      </c>
    </row>
    <row r="683" spans="1:10" x14ac:dyDescent="0.3">
      <c r="A683" s="2">
        <v>45040</v>
      </c>
      <c r="B683" s="3">
        <v>1.87679788705659E-3</v>
      </c>
      <c r="C683" s="3">
        <v>-2.9542118974315201E-3</v>
      </c>
      <c r="D683" s="3">
        <v>-1.5444558134466678E-2</v>
      </c>
      <c r="E683" s="3">
        <v>1.7711407008961528E-2</v>
      </c>
      <c r="F683" s="3">
        <v>-1.3924275604754333E-2</v>
      </c>
      <c r="G683" s="3">
        <v>8.5121206122392508E-4</v>
      </c>
      <c r="H683" s="3">
        <f>(Sheet1!$Y$19*' Rolling-window portfolio analy'!B683+Sheet1!$Z$19*' Rolling-window portfolio analy'!C683+Sheet1!$AA$19*' Rolling-window portfolio analy'!D683+Sheet1!$AB$19*' Rolling-window portfolio analy'!E683+Sheet1!$AC$19*' Rolling-window portfolio analy'!F683)</f>
        <v>1.8487944701464404E-4</v>
      </c>
      <c r="I683" s="6">
        <f t="shared" si="18"/>
        <v>1.8835659394493354</v>
      </c>
      <c r="J683" s="86">
        <f t="shared" si="19"/>
        <v>4.019756100892731E-3</v>
      </c>
    </row>
    <row r="684" spans="1:10" x14ac:dyDescent="0.3">
      <c r="A684" s="2">
        <v>45037</v>
      </c>
      <c r="B684" s="3">
        <v>-9.829126077551523E-3</v>
      </c>
      <c r="C684" s="3">
        <v>7.377351865395941E-4</v>
      </c>
      <c r="D684" s="3">
        <v>1.2741355652839684E-2</v>
      </c>
      <c r="E684" s="3">
        <v>-1.4393553932167796E-2</v>
      </c>
      <c r="F684" s="3">
        <v>3.2255710301064298E-2</v>
      </c>
      <c r="G684" s="3">
        <v>9.0278599092536804E-4</v>
      </c>
      <c r="H684" s="3">
        <f>(Sheet1!$Y$19*' Rolling-window portfolio analy'!B684+Sheet1!$Z$19*' Rolling-window portfolio analy'!C684+Sheet1!$AA$19*' Rolling-window portfolio analy'!D684+Sheet1!$AB$19*' Rolling-window portfolio analy'!E684+Sheet1!$AC$19*' Rolling-window portfolio analy'!F684)</f>
        <v>-3.30365434953858E-3</v>
      </c>
      <c r="I684" s="6">
        <f t="shared" si="18"/>
        <v>1.8880635321378367</v>
      </c>
      <c r="J684" s="86">
        <f t="shared" si="19"/>
        <v>4.0620730385688775E-3</v>
      </c>
    </row>
    <row r="685" spans="1:10" x14ac:dyDescent="0.3">
      <c r="A685" s="2">
        <v>45036</v>
      </c>
      <c r="B685" s="3">
        <v>-5.8633648894377199E-3</v>
      </c>
      <c r="C685" s="3">
        <v>-3.016765207143015E-2</v>
      </c>
      <c r="D685" s="3">
        <v>-0.10254041923271046</v>
      </c>
      <c r="E685" s="3">
        <v>-1.5499073656365894E-2</v>
      </c>
      <c r="F685" s="3">
        <v>8.1473483102569126E-3</v>
      </c>
      <c r="G685" s="3">
        <v>-5.9703399458197028E-3</v>
      </c>
      <c r="H685" s="3">
        <f>(Sheet1!$Y$19*' Rolling-window portfolio analy'!B685+Sheet1!$Z$19*' Rolling-window portfolio analy'!C685+Sheet1!$AA$19*' Rolling-window portfolio analy'!D685+Sheet1!$AB$19*' Rolling-window portfolio analy'!E685+Sheet1!$AC$19*' Rolling-window portfolio analy'!F685)</f>
        <v>-2.2863385560768314E-2</v>
      </c>
      <c r="I685" s="6">
        <f t="shared" si="18"/>
        <v>1.9258388944020655</v>
      </c>
      <c r="J685" s="86">
        <f t="shared" si="19"/>
        <v>3.7929575503595925E-3</v>
      </c>
    </row>
    <row r="686" spans="1:10" x14ac:dyDescent="0.3">
      <c r="A686" s="2">
        <v>45035</v>
      </c>
      <c r="B686" s="3">
        <v>6.9440566372668067E-3</v>
      </c>
      <c r="C686" s="3">
        <v>9.3525861582506864E-3</v>
      </c>
      <c r="D686" s="3">
        <v>-2.0389854099279486E-2</v>
      </c>
      <c r="E686" s="3">
        <v>3.5301700952545485E-2</v>
      </c>
      <c r="F686" s="3">
        <v>4.9204626090463563E-3</v>
      </c>
      <c r="G686" s="3">
        <v>-8.4242044291161936E-5</v>
      </c>
      <c r="H686" s="3">
        <f>(Sheet1!$Y$19*' Rolling-window portfolio analy'!B686+Sheet1!$Z$19*' Rolling-window portfolio analy'!C686+Sheet1!$AA$19*' Rolling-window portfolio analy'!D686+Sheet1!$AB$19*' Rolling-window portfolio analy'!E686+Sheet1!$AC$19*' Rolling-window portfolio analy'!F686)</f>
        <v>1.1161237206299718E-2</v>
      </c>
      <c r="I686" s="6">
        <f t="shared" si="18"/>
        <v>1.9164711611919178</v>
      </c>
      <c r="J686" s="86">
        <f t="shared" si="19"/>
        <v>3.7955171839187582E-3</v>
      </c>
    </row>
    <row r="687" spans="1:10" x14ac:dyDescent="0.3">
      <c r="A687" s="2">
        <v>45034</v>
      </c>
      <c r="B687" s="3">
        <v>7.476670343020137E-3</v>
      </c>
      <c r="C687" s="3">
        <v>2.4511927794505492E-2</v>
      </c>
      <c r="D687" s="3">
        <v>-1.4703375160226897E-2</v>
      </c>
      <c r="E687" s="3">
        <v>1.1935350549272854E-2</v>
      </c>
      <c r="F687" s="3">
        <v>-1.3144924666327283E-3</v>
      </c>
      <c r="G687" s="3">
        <v>8.547842551524592E-4</v>
      </c>
      <c r="H687" s="3">
        <f>(Sheet1!$Y$19*' Rolling-window portfolio analy'!B687+Sheet1!$Z$19*' Rolling-window portfolio analy'!C687+Sheet1!$AA$19*' Rolling-window portfolio analy'!D687+Sheet1!$AB$19*' Rolling-window portfolio analy'!E687+Sheet1!$AC$19*' Rolling-window portfolio analy'!F687)</f>
        <v>1.90114089346421E-2</v>
      </c>
      <c r="I687" s="6">
        <f t="shared" si="18"/>
        <v>1.907378856877499</v>
      </c>
      <c r="J687" s="86">
        <f t="shared" si="19"/>
        <v>4.196610193042581E-3</v>
      </c>
    </row>
    <row r="688" spans="1:10" x14ac:dyDescent="0.3">
      <c r="A688" s="2">
        <v>45033</v>
      </c>
      <c r="B688" s="3">
        <v>1.2105072039954903E-4</v>
      </c>
      <c r="C688" s="3">
        <v>8.9286307443013982E-3</v>
      </c>
      <c r="D688" s="3">
        <v>1.0966672645433396E-2</v>
      </c>
      <c r="E688" s="3">
        <v>0</v>
      </c>
      <c r="F688" s="3">
        <v>-3.283533111097529E-4</v>
      </c>
      <c r="G688" s="3">
        <v>3.3007789687629755E-3</v>
      </c>
      <c r="H688" s="3">
        <f>(Sheet1!$Y$19*' Rolling-window portfolio analy'!B688+Sheet1!$Z$19*' Rolling-window portfolio analy'!C688+Sheet1!$AA$19*' Rolling-window portfolio analy'!D688+Sheet1!$AB$19*' Rolling-window portfolio analy'!E688+Sheet1!$AC$19*' Rolling-window portfolio analy'!F688)</f>
        <v>5.8950584726874507E-3</v>
      </c>
      <c r="I688" s="6">
        <f t="shared" si="18"/>
        <v>1.8790693161706835</v>
      </c>
      <c r="J688" s="86">
        <f t="shared" si="19"/>
        <v>3.9567112146653627E-3</v>
      </c>
    </row>
    <row r="689" spans="1:10" x14ac:dyDescent="0.3">
      <c r="A689" s="2">
        <v>45030</v>
      </c>
      <c r="B689" s="3">
        <v>-2.1162749380318254E-3</v>
      </c>
      <c r="C689" s="3">
        <v>1.1274076573218161E-2</v>
      </c>
      <c r="D689" s="3">
        <v>-4.8530696490735889E-3</v>
      </c>
      <c r="E689" s="3">
        <v>-1.0238997301094312E-2</v>
      </c>
      <c r="F689" s="3">
        <v>1.3140606358690366E-3</v>
      </c>
      <c r="G689" s="3">
        <v>-2.0714988104920951E-3</v>
      </c>
      <c r="H689" s="3">
        <f>(Sheet1!$Y$19*' Rolling-window portfolio analy'!B689+Sheet1!$Z$19*' Rolling-window portfolio analy'!C689+Sheet1!$AA$19*' Rolling-window portfolio analy'!D689+Sheet1!$AB$19*' Rolling-window portfolio analy'!E689+Sheet1!$AC$19*' Rolling-window portfolio analy'!F689)</f>
        <v>5.8741335081489605E-3</v>
      </c>
      <c r="I689" s="6">
        <f t="shared" si="18"/>
        <v>1.857176919716208</v>
      </c>
      <c r="J689" s="86">
        <f t="shared" si="19"/>
        <v>3.9365634110089393E-3</v>
      </c>
    </row>
    <row r="690" spans="1:10" x14ac:dyDescent="0.3">
      <c r="A690" s="2">
        <v>45029</v>
      </c>
      <c r="B690" s="3">
        <v>3.3535046877862622E-2</v>
      </c>
      <c r="C690" s="3">
        <v>-1.5105743053668542E-3</v>
      </c>
      <c r="D690" s="3">
        <v>2.92565348573895E-2</v>
      </c>
      <c r="E690" s="3">
        <v>6.8143364197301879E-3</v>
      </c>
      <c r="F690" s="3">
        <v>8.583743691391435E-3</v>
      </c>
      <c r="G690" s="3">
        <v>1.3175446748330008E-2</v>
      </c>
      <c r="H690" s="3">
        <f>(Sheet1!$Y$19*' Rolling-window portfolio analy'!B690+Sheet1!$Z$19*' Rolling-window portfolio analy'!C690+Sheet1!$AA$19*' Rolling-window portfolio analy'!D690+Sheet1!$AB$19*' Rolling-window portfolio analy'!E690+Sheet1!$AC$19*' Rolling-window portfolio analy'!F690)</f>
        <v>8.050169156973987E-3</v>
      </c>
      <c r="I690" s="6">
        <f t="shared" si="18"/>
        <v>1.8043685861395855</v>
      </c>
      <c r="J690" s="86">
        <f t="shared" si="19"/>
        <v>3.8454982571922759E-3</v>
      </c>
    </row>
    <row r="691" spans="1:10" x14ac:dyDescent="0.3">
      <c r="A691" s="2">
        <v>45028</v>
      </c>
      <c r="B691" s="3">
        <v>-4.362736742197071E-3</v>
      </c>
      <c r="C691" s="3">
        <v>-2.4968690446079963E-2</v>
      </c>
      <c r="D691" s="3">
        <v>-3.40326313012028E-2</v>
      </c>
      <c r="E691" s="3">
        <v>3.4246608813641747E-3</v>
      </c>
      <c r="F691" s="3">
        <v>-4.9611479299564382E-3</v>
      </c>
      <c r="G691" s="3">
        <v>-4.1434586507983449E-3</v>
      </c>
      <c r="H691" s="3">
        <f>(Sheet1!$Y$19*' Rolling-window portfolio analy'!B691+Sheet1!$Z$19*' Rolling-window portfolio analy'!C691+Sheet1!$AA$19*' Rolling-window portfolio analy'!D691+Sheet1!$AB$19*' Rolling-window portfolio analy'!E691+Sheet1!$AC$19*' Rolling-window portfolio analy'!F691)</f>
        <v>-1.7167372170016616E-2</v>
      </c>
      <c r="I691" s="6">
        <f t="shared" si="18"/>
        <v>1.83075628663024</v>
      </c>
      <c r="J691" s="86">
        <f t="shared" si="19"/>
        <v>3.8529772875540106E-3</v>
      </c>
    </row>
    <row r="692" spans="1:10" x14ac:dyDescent="0.3">
      <c r="A692" s="2">
        <v>45027</v>
      </c>
      <c r="B692" s="3">
        <v>-7.6201465280433993E-3</v>
      </c>
      <c r="C692" s="3">
        <v>-1.4977448926899225E-2</v>
      </c>
      <c r="D692" s="3">
        <v>1.2281328617420638E-2</v>
      </c>
      <c r="E692" s="3">
        <v>1.1038401146190539E-2</v>
      </c>
      <c r="F692" s="3">
        <v>1.0613698308794122E-2</v>
      </c>
      <c r="G692" s="3">
        <v>-4.1372345026909729E-5</v>
      </c>
      <c r="H692" s="3">
        <f>(Sheet1!$Y$19*' Rolling-window portfolio analy'!B692+Sheet1!$Z$19*' Rolling-window portfolio analy'!C692+Sheet1!$AA$19*' Rolling-window portfolio analy'!D692+Sheet1!$AB$19*' Rolling-window portfolio analy'!E692+Sheet1!$AC$19*' Rolling-window portfolio analy'!F692)</f>
        <v>-1.0630494173656873E-2</v>
      </c>
      <c r="I692" s="6">
        <f t="shared" si="18"/>
        <v>1.8485824473391479</v>
      </c>
      <c r="J692" s="86">
        <f t="shared" si="19"/>
        <v>3.4190171549953402E-3</v>
      </c>
    </row>
    <row r="693" spans="1:10" x14ac:dyDescent="0.3">
      <c r="A693" s="2">
        <v>45026</v>
      </c>
      <c r="B693" s="3">
        <v>-1.6101238597370535E-2</v>
      </c>
      <c r="C693" s="3">
        <v>1.9773621190392377E-2</v>
      </c>
      <c r="D693" s="3">
        <v>-2.976434267093262E-3</v>
      </c>
      <c r="E693" s="3">
        <v>1.1161608725730097E-2</v>
      </c>
      <c r="F693" s="3">
        <v>-9.9983344439823338E-4</v>
      </c>
      <c r="G693" s="3">
        <v>9.9584504701190541E-4</v>
      </c>
      <c r="H693" s="3">
        <f>(Sheet1!$Y$19*' Rolling-window portfolio analy'!B693+Sheet1!$Z$19*' Rolling-window portfolio analy'!C693+Sheet1!$AA$19*' Rolling-window portfolio analy'!D693+Sheet1!$AB$19*' Rolling-window portfolio analy'!E693+Sheet1!$AC$19*' Rolling-window portfolio analy'!F693)</f>
        <v>9.9939656905761037E-3</v>
      </c>
      <c r="I693" s="6">
        <f t="shared" si="18"/>
        <v>1.8726162984034675</v>
      </c>
      <c r="J693" s="86">
        <f t="shared" si="19"/>
        <v>3.3257753629133201E-3</v>
      </c>
    </row>
    <row r="694" spans="1:10" x14ac:dyDescent="0.3">
      <c r="A694" s="2">
        <v>45022</v>
      </c>
      <c r="B694" s="3">
        <v>5.4808005172460074E-3</v>
      </c>
      <c r="C694" s="3">
        <v>5.9347355198145265E-3</v>
      </c>
      <c r="D694" s="3">
        <v>-2.4825961263920913E-3</v>
      </c>
      <c r="E694" s="3">
        <v>-1.8419287032014606E-2</v>
      </c>
      <c r="F694" s="3">
        <v>2.4617665365673769E-2</v>
      </c>
      <c r="G694" s="3">
        <v>3.5727397253701647E-3</v>
      </c>
      <c r="H694" s="3">
        <f>(Sheet1!$Y$19*' Rolling-window portfolio analy'!B694+Sheet1!$Z$19*' Rolling-window portfolio analy'!C694+Sheet1!$AA$19*' Rolling-window portfolio analy'!D694+Sheet1!$AB$19*' Rolling-window portfolio analy'!E694+Sheet1!$AC$19*' Rolling-window portfolio analy'!F694)</f>
        <v>3.4963421840176309E-3</v>
      </c>
      <c r="I694" s="6">
        <f t="shared" si="18"/>
        <v>1.8659088493540916</v>
      </c>
      <c r="J694" s="86">
        <f t="shared" si="19"/>
        <v>3.2698388427594913E-3</v>
      </c>
    </row>
    <row r="695" spans="1:10" x14ac:dyDescent="0.3">
      <c r="A695" s="2">
        <v>45021</v>
      </c>
      <c r="B695" s="3">
        <v>-1.1354443611028924E-2</v>
      </c>
      <c r="C695" s="3">
        <v>-2.0983652300590846E-2</v>
      </c>
      <c r="D695" s="3">
        <v>-3.7348958864861677E-2</v>
      </c>
      <c r="E695" s="3">
        <v>-7.2053837212702242E-3</v>
      </c>
      <c r="F695" s="3">
        <v>-7.4830281152060175E-3</v>
      </c>
      <c r="G695" s="3">
        <v>-2.4954291924703361E-3</v>
      </c>
      <c r="H695" s="3">
        <f>(Sheet1!$Y$19*' Rolling-window portfolio analy'!B695+Sheet1!$Z$19*' Rolling-window portfolio analy'!C695+Sheet1!$AA$19*' Rolling-window portfolio analy'!D695+Sheet1!$AB$19*' Rolling-window portfolio analy'!E695+Sheet1!$AC$19*' Rolling-window portfolio analy'!F695)</f>
        <v>-1.7311699414838948E-2</v>
      </c>
      <c r="I695" s="6">
        <f t="shared" si="18"/>
        <v>1.883884267445523</v>
      </c>
      <c r="J695" s="86">
        <f t="shared" si="19"/>
        <v>3.0761983752711467E-3</v>
      </c>
    </row>
    <row r="696" spans="1:10" x14ac:dyDescent="0.3">
      <c r="A696" s="2">
        <v>45020</v>
      </c>
      <c r="B696" s="3">
        <v>-3.2549757490592185E-3</v>
      </c>
      <c r="C696" s="3">
        <v>-1.8766339258328713E-2</v>
      </c>
      <c r="D696" s="3">
        <v>-1.1307723429670544E-2</v>
      </c>
      <c r="E696" s="3">
        <v>-2.2313298963991195E-2</v>
      </c>
      <c r="F696" s="3">
        <v>-1.1455650883763017E-2</v>
      </c>
      <c r="G696" s="3">
        <v>-5.8139203852082119E-3</v>
      </c>
      <c r="H696" s="3">
        <f>(Sheet1!$Y$19*' Rolling-window portfolio analy'!B696+Sheet1!$Z$19*' Rolling-window portfolio analy'!C696+Sheet1!$AA$19*' Rolling-window portfolio analy'!D696+Sheet1!$AB$19*' Rolling-window portfolio analy'!E696+Sheet1!$AC$19*' Rolling-window portfolio analy'!F696)</f>
        <v>-1.5231873193834906E-2</v>
      </c>
      <c r="I696" s="6">
        <f t="shared" si="18"/>
        <v>1.8858889337849829</v>
      </c>
      <c r="J696" s="86">
        <f t="shared" si="19"/>
        <v>2.8896482908944907E-3</v>
      </c>
    </row>
    <row r="697" spans="1:10" x14ac:dyDescent="0.3">
      <c r="A697" s="2">
        <v>45019</v>
      </c>
      <c r="B697" s="3">
        <v>7.6721311475689783E-3</v>
      </c>
      <c r="C697" s="3">
        <v>6.8161698876706726E-3</v>
      </c>
      <c r="D697" s="3">
        <v>-6.311917476187355E-2</v>
      </c>
      <c r="E697" s="3">
        <v>3.5736319296131761E-2</v>
      </c>
      <c r="F697" s="3">
        <v>-3.0105391528711519E-3</v>
      </c>
      <c r="G697" s="3">
        <v>3.6920936495169121E-3</v>
      </c>
      <c r="H697" s="3">
        <f>(Sheet1!$Y$19*' Rolling-window portfolio analy'!B697+Sheet1!$Z$19*' Rolling-window portfolio analy'!C697+Sheet1!$AA$19*' Rolling-window portfolio analy'!D697+Sheet1!$AB$19*' Rolling-window portfolio analy'!E697+Sheet1!$AC$19*' Rolling-window portfolio analy'!F697)</f>
        <v>9.645581500122298E-3</v>
      </c>
      <c r="I697" s="6">
        <f t="shared" si="18"/>
        <v>1.9013581126824657</v>
      </c>
      <c r="J697" s="86">
        <f t="shared" si="19"/>
        <v>3.1215409623160956E-3</v>
      </c>
    </row>
    <row r="698" spans="1:10" x14ac:dyDescent="0.3">
      <c r="A698" s="2">
        <v>45016</v>
      </c>
      <c r="B698" s="3">
        <v>1.5523137594856146E-2</v>
      </c>
      <c r="C698" s="3">
        <v>1.4503517465895031E-2</v>
      </c>
      <c r="D698" s="3">
        <v>6.0504123918977325E-2</v>
      </c>
      <c r="E698" s="3">
        <v>3.818786102365274E-3</v>
      </c>
      <c r="F698" s="3">
        <v>1.4805115645708144E-2</v>
      </c>
      <c r="G698" s="3">
        <v>1.4333332809426856E-2</v>
      </c>
      <c r="H698" s="3">
        <f>(Sheet1!$Y$19*' Rolling-window portfolio analy'!B698+Sheet1!$Z$19*' Rolling-window portfolio analy'!C698+Sheet1!$AA$19*' Rolling-window portfolio analy'!D698+Sheet1!$AB$19*' Rolling-window portfolio analy'!E698+Sheet1!$AC$19*' Rolling-window portfolio analy'!F698)</f>
        <v>1.3826946328953541E-2</v>
      </c>
      <c r="I698" s="6">
        <f t="shared" si="18"/>
        <v>1.8330587967183336</v>
      </c>
      <c r="J698" s="86">
        <f t="shared" si="19"/>
        <v>3.1289325521409298E-3</v>
      </c>
    </row>
    <row r="699" spans="1:10" x14ac:dyDescent="0.3">
      <c r="A699" s="2">
        <v>45015</v>
      </c>
      <c r="B699" s="3">
        <v>9.8413197958284095E-3</v>
      </c>
      <c r="C699" s="3">
        <v>1.4716969080692942E-2</v>
      </c>
      <c r="D699" s="3">
        <v>7.1950151075294228E-3</v>
      </c>
      <c r="E699" s="3">
        <v>2.0380185355078163E-2</v>
      </c>
      <c r="F699" s="3">
        <v>-3.0462030663441003E-3</v>
      </c>
      <c r="G699" s="3">
        <v>5.698994460609173E-3</v>
      </c>
      <c r="H699" s="3">
        <f>(Sheet1!$Y$19*' Rolling-window portfolio analy'!B699+Sheet1!$Z$19*' Rolling-window portfolio analy'!C699+Sheet1!$AA$19*' Rolling-window portfolio analy'!D699+Sheet1!$AB$19*' Rolling-window portfolio analy'!E699+Sheet1!$AC$19*' Rolling-window portfolio analy'!F699)</f>
        <v>1.4028054667393047E-2</v>
      </c>
      <c r="I699" s="6">
        <f t="shared" si="18"/>
        <v>1.8304829320932186</v>
      </c>
      <c r="J699" s="86">
        <f t="shared" si="19"/>
        <v>3.1229868306659292E-3</v>
      </c>
    </row>
    <row r="700" spans="1:10" x14ac:dyDescent="0.3">
      <c r="A700" s="2">
        <v>45014</v>
      </c>
      <c r="B700" s="3">
        <v>1.9597386183798766E-2</v>
      </c>
      <c r="C700" s="3">
        <v>2.1353124470569061E-2</v>
      </c>
      <c r="D700" s="3">
        <v>2.4487609878847183E-2</v>
      </c>
      <c r="E700" s="3">
        <v>2.1166709523125687E-2</v>
      </c>
      <c r="F700" s="3">
        <v>1.6354708654586488E-2</v>
      </c>
      <c r="G700" s="3">
        <v>1.4136861145886559E-2</v>
      </c>
      <c r="H700" s="3">
        <f>(Sheet1!$Y$19*' Rolling-window portfolio analy'!B700+Sheet1!$Z$19*' Rolling-window portfolio analy'!C700+Sheet1!$AA$19*' Rolling-window portfolio analy'!D700+Sheet1!$AB$19*' Rolling-window portfolio analy'!E700+Sheet1!$AC$19*' Rolling-window portfolio analy'!F700)</f>
        <v>2.0904503989333193E-2</v>
      </c>
      <c r="I700" s="6">
        <f t="shared" si="18"/>
        <v>1.7680511112748578</v>
      </c>
      <c r="J700" s="86">
        <f t="shared" si="19"/>
        <v>3.3969967904767216E-3</v>
      </c>
    </row>
    <row r="701" spans="1:10" x14ac:dyDescent="0.3">
      <c r="A701" s="2">
        <v>45013</v>
      </c>
      <c r="B701" s="3">
        <v>-3.988230526153708E-3</v>
      </c>
      <c r="C701" s="3">
        <v>-4.5334418406074361E-3</v>
      </c>
      <c r="D701" s="3">
        <v>-1.3753497635268667E-2</v>
      </c>
      <c r="E701" s="3">
        <v>1.1670446096768988E-2</v>
      </c>
      <c r="F701" s="3">
        <v>1.2443990514172488E-2</v>
      </c>
      <c r="G701" s="3">
        <v>-1.5750808409301009E-3</v>
      </c>
      <c r="H701" s="3">
        <f>(Sheet1!$Y$19*' Rolling-window portfolio analy'!B701+Sheet1!$Z$19*' Rolling-window portfolio analy'!C701+Sheet1!$AA$19*' Rolling-window portfolio analy'!D701+Sheet1!$AB$19*' Rolling-window portfolio analy'!E701+Sheet1!$AC$19*' Rolling-window portfolio analy'!F701)</f>
        <v>-2.8774658982656867E-3</v>
      </c>
      <c r="I701" s="6">
        <f t="shared" si="18"/>
        <v>1.7603623143231144</v>
      </c>
      <c r="J701" s="86">
        <f t="shared" si="19"/>
        <v>3.4180801185998326E-3</v>
      </c>
    </row>
    <row r="702" spans="1:10" x14ac:dyDescent="0.3">
      <c r="A702" s="2">
        <v>45012</v>
      </c>
      <c r="B702" s="3">
        <v>-1.2369479283555878E-2</v>
      </c>
      <c r="C702" s="3">
        <v>-9.3791721133781505E-3</v>
      </c>
      <c r="D702" s="3">
        <v>7.3256567471083004E-3</v>
      </c>
      <c r="E702" s="3">
        <v>8.8430937363338513E-3</v>
      </c>
      <c r="F702" s="3">
        <v>1.7544309650909525E-2</v>
      </c>
      <c r="G702" s="3">
        <v>1.6455897389303137E-3</v>
      </c>
      <c r="H702" s="3">
        <f>(Sheet1!$Y$19*' Rolling-window portfolio analy'!B702+Sheet1!$Z$19*' Rolling-window portfolio analy'!C702+Sheet1!$AA$19*' Rolling-window portfolio analy'!D702+Sheet1!$AB$19*' Rolling-window portfolio analy'!E702+Sheet1!$AC$19*' Rolling-window portfolio analy'!F702)</f>
        <v>-8.3639342121629868E-3</v>
      </c>
      <c r="I702" s="6">
        <f t="shared" si="18"/>
        <v>1.7644133071184778</v>
      </c>
      <c r="J702" s="86">
        <f t="shared" si="19"/>
        <v>3.2850593510650207E-3</v>
      </c>
    </row>
    <row r="703" spans="1:10" x14ac:dyDescent="0.3">
      <c r="A703" s="2">
        <v>45009</v>
      </c>
      <c r="B703" s="3">
        <v>8.2712420920511859E-3</v>
      </c>
      <c r="C703" s="3">
        <v>-1.5193918381352889E-2</v>
      </c>
      <c r="D703" s="3">
        <v>-9.4609074086498251E-3</v>
      </c>
      <c r="E703" s="3">
        <v>1.0790802381225227E-2</v>
      </c>
      <c r="F703" s="3">
        <v>6.0358784348396319E-3</v>
      </c>
      <c r="G703" s="3">
        <v>5.623958124210314E-3</v>
      </c>
      <c r="H703" s="3">
        <f>(Sheet1!$Y$19*' Rolling-window portfolio analy'!B703+Sheet1!$Z$19*' Rolling-window portfolio analy'!C703+Sheet1!$AA$19*' Rolling-window portfolio analy'!D703+Sheet1!$AB$19*' Rolling-window portfolio analy'!E703+Sheet1!$AC$19*' Rolling-window portfolio analy'!F703)</f>
        <v>-6.8832133880407098E-3</v>
      </c>
      <c r="I703" s="6">
        <f t="shared" ref="I703:I754" si="20">SLOPE(H644:H703,G644:G703)</f>
        <v>1.7313384335366482</v>
      </c>
      <c r="J703" s="86">
        <f t="shared" ref="J703:J754" si="21">AVERAGE(H644:H703)-($N$1+I703*(AVERAGE(G644:G703)-$N$1))</f>
        <v>3.0858046862353304E-3</v>
      </c>
    </row>
    <row r="704" spans="1:10" x14ac:dyDescent="0.3">
      <c r="A704" s="2">
        <v>45008</v>
      </c>
      <c r="B704" s="3">
        <v>6.9453492979026912E-3</v>
      </c>
      <c r="C704" s="3">
        <v>2.6837242405369575E-2</v>
      </c>
      <c r="D704" s="3">
        <v>5.5820892527163515E-3</v>
      </c>
      <c r="E704" s="3">
        <v>-1.1530721023935642E-2</v>
      </c>
      <c r="F704" s="3">
        <v>-7.450806155865527E-3</v>
      </c>
      <c r="G704" s="3">
        <v>2.9800838470393862E-3</v>
      </c>
      <c r="H704" s="3">
        <f>(Sheet1!$Y$19*' Rolling-window portfolio analy'!B704+Sheet1!$Z$19*' Rolling-window portfolio analy'!C704+Sheet1!$AA$19*' Rolling-window portfolio analy'!D704+Sheet1!$AB$19*' Rolling-window portfolio analy'!E704+Sheet1!$AC$19*' Rolling-window portfolio analy'!F704)</f>
        <v>1.821231073824553E-2</v>
      </c>
      <c r="I704" s="6">
        <f t="shared" si="20"/>
        <v>1.7746581228747074</v>
      </c>
      <c r="J704" s="86">
        <f t="shared" si="21"/>
        <v>2.8456679077860135E-3</v>
      </c>
    </row>
    <row r="705" spans="1:10" x14ac:dyDescent="0.3">
      <c r="A705" s="2">
        <v>45007</v>
      </c>
      <c r="B705" s="3">
        <v>-9.1451553451152717E-3</v>
      </c>
      <c r="C705" s="3">
        <v>1.0252605471958753E-2</v>
      </c>
      <c r="D705" s="3">
        <v>-3.3085105473906203E-2</v>
      </c>
      <c r="E705" s="3">
        <v>-3.6314810991626055E-2</v>
      </c>
      <c r="F705" s="3">
        <v>-3.5761491704974925E-2</v>
      </c>
      <c r="G705" s="3">
        <v>-1.6600211922495948E-2</v>
      </c>
      <c r="H705" s="3">
        <f>(Sheet1!$Y$19*' Rolling-window portfolio analy'!B705+Sheet1!$Z$19*' Rolling-window portfolio analy'!C705+Sheet1!$AA$19*' Rolling-window portfolio analy'!D705+Sheet1!$AB$19*' Rolling-window portfolio analy'!E705+Sheet1!$AC$19*' Rolling-window portfolio analy'!F705)</f>
        <v>9.326996062569144E-4</v>
      </c>
      <c r="I705" s="6">
        <f t="shared" si="20"/>
        <v>1.6411121649295528</v>
      </c>
      <c r="J705" s="86">
        <f t="shared" si="21"/>
        <v>3.4420035068108402E-3</v>
      </c>
    </row>
    <row r="706" spans="1:10" x14ac:dyDescent="0.3">
      <c r="A706" s="2">
        <v>45006</v>
      </c>
      <c r="B706" s="3">
        <v>1.1873323772638007E-2</v>
      </c>
      <c r="C706" s="3">
        <v>1.1516442061559081E-2</v>
      </c>
      <c r="D706" s="3">
        <v>7.5292224849567199E-2</v>
      </c>
      <c r="E706" s="3">
        <v>3.9648764811383241E-2</v>
      </c>
      <c r="F706" s="3">
        <v>4.7863339238111719E-3</v>
      </c>
      <c r="G706" s="3">
        <v>1.289863554198477E-2</v>
      </c>
      <c r="H706" s="3">
        <f>(Sheet1!$Y$19*' Rolling-window portfolio analy'!B706+Sheet1!$Z$19*' Rolling-window portfolio analy'!C706+Sheet1!$AA$19*' Rolling-window portfolio analy'!D706+Sheet1!$AB$19*' Rolling-window portfolio analy'!E706+Sheet1!$AC$19*' Rolling-window portfolio analy'!F706)</f>
        <v>1.4389513229841212E-2</v>
      </c>
      <c r="I706" s="6">
        <f t="shared" si="20"/>
        <v>1.6810263733549111</v>
      </c>
      <c r="J706" s="86">
        <f t="shared" si="21"/>
        <v>3.6265146726270265E-3</v>
      </c>
    </row>
    <row r="707" spans="1:10" x14ac:dyDescent="0.3">
      <c r="A707" s="2">
        <v>45005</v>
      </c>
      <c r="B707" s="3">
        <v>1.5365219064056359E-2</v>
      </c>
      <c r="C707" s="3">
        <v>6.5853424118391887E-3</v>
      </c>
      <c r="D707" s="3">
        <v>1.7172528331293763E-2</v>
      </c>
      <c r="E707" s="3">
        <v>1.1137925784791016E-3</v>
      </c>
      <c r="F707" s="3">
        <v>9.2959870663848337E-3</v>
      </c>
      <c r="G707" s="3">
        <v>8.878824909597214E-3</v>
      </c>
      <c r="H707" s="3">
        <f>(Sheet1!$Y$19*' Rolling-window portfolio analy'!B707+Sheet1!$Z$19*' Rolling-window portfolio analy'!C707+Sheet1!$AA$19*' Rolling-window portfolio analy'!D707+Sheet1!$AB$19*' Rolling-window portfolio analy'!E707+Sheet1!$AC$19*' Rolling-window portfolio analy'!F707)</f>
        <v>8.268910626027956E-3</v>
      </c>
      <c r="I707" s="6">
        <f t="shared" si="20"/>
        <v>1.6686666248198672</v>
      </c>
      <c r="J707" s="86">
        <f t="shared" si="21"/>
        <v>3.0425967961396853E-3</v>
      </c>
    </row>
    <row r="708" spans="1:10" x14ac:dyDescent="0.3">
      <c r="A708" s="2">
        <v>45002</v>
      </c>
      <c r="B708" s="3">
        <v>-5.4688892940994126E-3</v>
      </c>
      <c r="C708" s="3">
        <v>7.4117756892595902E-3</v>
      </c>
      <c r="D708" s="3">
        <v>-2.196321744366168E-2</v>
      </c>
      <c r="E708" s="3">
        <v>-1.4017197414386943E-2</v>
      </c>
      <c r="F708" s="3">
        <v>-1.4423326961104939E-2</v>
      </c>
      <c r="G708" s="3">
        <v>-1.1080586449227313E-2</v>
      </c>
      <c r="H708" s="3">
        <f>(Sheet1!$Y$19*' Rolling-window portfolio analy'!B708+Sheet1!$Z$19*' Rolling-window portfolio analy'!C708+Sheet1!$AA$19*' Rolling-window portfolio analy'!D708+Sheet1!$AB$19*' Rolling-window portfolio analy'!E708+Sheet1!$AC$19*' Rolling-window portfolio analy'!F708)</f>
        <v>2.1225336871719177E-3</v>
      </c>
      <c r="I708" s="6">
        <f t="shared" si="20"/>
        <v>1.5946994326699861</v>
      </c>
      <c r="J708" s="86">
        <f t="shared" si="21"/>
        <v>3.2512234835140072E-3</v>
      </c>
    </row>
    <row r="709" spans="1:10" x14ac:dyDescent="0.3">
      <c r="A709" s="2">
        <v>45001</v>
      </c>
      <c r="B709" s="3">
        <v>1.8521446434058394E-2</v>
      </c>
      <c r="C709" s="3">
        <v>5.2654315775958915E-2</v>
      </c>
      <c r="D709" s="3">
        <v>2.0188298790331252E-2</v>
      </c>
      <c r="E709" s="3">
        <v>1.6620881236040282E-2</v>
      </c>
      <c r="F709" s="3">
        <v>1.2004946096823182E-2</v>
      </c>
      <c r="G709" s="3">
        <v>1.7409551286964531E-2</v>
      </c>
      <c r="H709" s="3">
        <f>(Sheet1!$Y$19*' Rolling-window portfolio analy'!B709+Sheet1!$Z$19*' Rolling-window portfolio analy'!C709+Sheet1!$AA$19*' Rolling-window portfolio analy'!D709+Sheet1!$AB$19*' Rolling-window portfolio analy'!E709+Sheet1!$AC$19*' Rolling-window portfolio analy'!F709)</f>
        <v>4.0689023679683425E-2</v>
      </c>
      <c r="I709" s="6">
        <f t="shared" si="20"/>
        <v>1.6384379644752507</v>
      </c>
      <c r="J709" s="86">
        <f t="shared" si="21"/>
        <v>3.3964177290692022E-3</v>
      </c>
    </row>
    <row r="710" spans="1:10" x14ac:dyDescent="0.3">
      <c r="A710" s="2">
        <v>45000</v>
      </c>
      <c r="B710" s="3">
        <v>2.6179738756434445E-3</v>
      </c>
      <c r="C710" s="3">
        <v>7.0408242819015674E-3</v>
      </c>
      <c r="D710" s="3">
        <v>-1.545217844826967E-2</v>
      </c>
      <c r="E710" s="3">
        <v>-5.4713880709053024E-2</v>
      </c>
      <c r="F710" s="3">
        <v>-9.6154586994419804E-3</v>
      </c>
      <c r="G710" s="3">
        <v>-7.0053363982352087E-3</v>
      </c>
      <c r="H710" s="3">
        <f>(Sheet1!$Y$19*' Rolling-window portfolio analy'!B710+Sheet1!$Z$19*' Rolling-window portfolio analy'!C710+Sheet1!$AA$19*' Rolling-window portfolio analy'!D710+Sheet1!$AB$19*' Rolling-window portfolio analy'!E710+Sheet1!$AC$19*' Rolling-window portfolio analy'!F710)</f>
        <v>4.2044847156768109E-5</v>
      </c>
      <c r="I710" s="6">
        <f t="shared" si="20"/>
        <v>1.6212037367271943</v>
      </c>
      <c r="J710" s="86">
        <f t="shared" si="21"/>
        <v>3.574330152598591E-3</v>
      </c>
    </row>
    <row r="711" spans="1:10" x14ac:dyDescent="0.3">
      <c r="A711" s="2">
        <v>44999</v>
      </c>
      <c r="B711" s="3">
        <v>1.3990857132857637E-2</v>
      </c>
      <c r="C711" s="3">
        <v>4.6361693845525943E-2</v>
      </c>
      <c r="D711" s="3">
        <v>4.9095787643693566E-2</v>
      </c>
      <c r="E711" s="3">
        <v>7.7876499776837645E-3</v>
      </c>
      <c r="F711" s="3">
        <v>6.8587374498415305E-3</v>
      </c>
      <c r="G711" s="3">
        <v>1.6342380801371525E-2</v>
      </c>
      <c r="H711" s="3">
        <f>(Sheet1!$Y$19*' Rolling-window portfolio analy'!B711+Sheet1!$Z$19*' Rolling-window portfolio analy'!C711+Sheet1!$AA$19*' Rolling-window portfolio analy'!D711+Sheet1!$AB$19*' Rolling-window portfolio analy'!E711+Sheet1!$AC$19*' Rolling-window portfolio analy'!F711)</f>
        <v>3.4657425360820934E-2</v>
      </c>
      <c r="I711" s="6">
        <f t="shared" si="20"/>
        <v>1.6296458776815945</v>
      </c>
      <c r="J711" s="86">
        <f t="shared" si="21"/>
        <v>3.5186556384214493E-3</v>
      </c>
    </row>
    <row r="712" spans="1:10" x14ac:dyDescent="0.3">
      <c r="A712" s="2">
        <v>44998</v>
      </c>
      <c r="B712" s="3">
        <v>1.3178770528032447E-2</v>
      </c>
      <c r="C712" s="3">
        <v>0</v>
      </c>
      <c r="D712" s="3">
        <v>5.978403642092121E-3</v>
      </c>
      <c r="E712" s="3">
        <v>-3.2514662884541516E-2</v>
      </c>
      <c r="F712" s="3">
        <v>-1.4688564685048016E-2</v>
      </c>
      <c r="G712" s="3">
        <v>-1.5108816132590817E-3</v>
      </c>
      <c r="H712" s="3">
        <f>(Sheet1!$Y$19*' Rolling-window portfolio analy'!B712+Sheet1!$Z$19*' Rolling-window portfolio analy'!C712+Sheet1!$AA$19*' Rolling-window portfolio analy'!D712+Sheet1!$AB$19*' Rolling-window portfolio analy'!E712+Sheet1!$AC$19*' Rolling-window portfolio analy'!F712)</f>
        <v>2.0380724525215829E-4</v>
      </c>
      <c r="I712" s="6">
        <f t="shared" si="20"/>
        <v>1.6051973402706081</v>
      </c>
      <c r="J712" s="86">
        <f t="shared" si="21"/>
        <v>3.8652682836863581E-3</v>
      </c>
    </row>
    <row r="713" spans="1:10" x14ac:dyDescent="0.3">
      <c r="A713" s="2">
        <v>44995</v>
      </c>
      <c r="B713" s="3">
        <v>-1.3975953855973828E-2</v>
      </c>
      <c r="C713" s="3">
        <v>-2.0254948007805033E-2</v>
      </c>
      <c r="D713" s="3">
        <v>3.0026584518504807E-3</v>
      </c>
      <c r="E713" s="3">
        <v>-3.3488669754043861E-2</v>
      </c>
      <c r="F713" s="3">
        <v>-9.1139871377063173E-3</v>
      </c>
      <c r="G713" s="3">
        <v>-1.4583974750190179E-2</v>
      </c>
      <c r="H713" s="3">
        <f>(Sheet1!$Y$19*' Rolling-window portfolio analy'!B713+Sheet1!$Z$19*' Rolling-window portfolio analy'!C713+Sheet1!$AA$19*' Rolling-window portfolio analy'!D713+Sheet1!$AB$19*' Rolling-window portfolio analy'!E713+Sheet1!$AC$19*' Rolling-window portfolio analy'!F713)</f>
        <v>-1.9906651033542399E-2</v>
      </c>
      <c r="I713" s="6">
        <f t="shared" si="20"/>
        <v>1.6089032774325691</v>
      </c>
      <c r="J713" s="86">
        <f t="shared" si="21"/>
        <v>4.0873653880093303E-3</v>
      </c>
    </row>
    <row r="714" spans="1:10" x14ac:dyDescent="0.3">
      <c r="A714" s="2">
        <v>44994</v>
      </c>
      <c r="B714" s="3">
        <v>-1.5026974914214734E-2</v>
      </c>
      <c r="C714" s="3">
        <v>-3.1081880477834702E-2</v>
      </c>
      <c r="D714" s="3">
        <v>-5.117762727736444E-2</v>
      </c>
      <c r="E714" s="3">
        <v>-4.4567466484647822E-2</v>
      </c>
      <c r="F714" s="3">
        <v>-1.699191306873607E-2</v>
      </c>
      <c r="G714" s="3">
        <v>-1.8631872945282475E-2</v>
      </c>
      <c r="H714" s="3">
        <f>(Sheet1!$Y$19*' Rolling-window portfolio analy'!B714+Sheet1!$Z$19*' Rolling-window portfolio analy'!C714+Sheet1!$AA$19*' Rolling-window portfolio analy'!D714+Sheet1!$AB$19*' Rolling-window portfolio analy'!E714+Sheet1!$AC$19*' Rolling-window portfolio analy'!F714)</f>
        <v>-2.8405004626885506E-2</v>
      </c>
      <c r="I714" s="6">
        <f t="shared" si="20"/>
        <v>1.6154106230406384</v>
      </c>
      <c r="J714" s="86">
        <f t="shared" si="21"/>
        <v>4.123875662600209E-3</v>
      </c>
    </row>
    <row r="715" spans="1:10" x14ac:dyDescent="0.3">
      <c r="A715" s="2">
        <v>44993</v>
      </c>
      <c r="B715" s="3">
        <v>8.3424138046716313E-3</v>
      </c>
      <c r="C715" s="3">
        <v>3.7501761290396951E-2</v>
      </c>
      <c r="D715" s="3">
        <v>-3.0891531601586478E-2</v>
      </c>
      <c r="E715" s="3">
        <v>-1.0129874529224446E-2</v>
      </c>
      <c r="F715" s="3">
        <v>1.9346834257958894E-2</v>
      </c>
      <c r="G715" s="3">
        <v>1.4138210863556078E-3</v>
      </c>
      <c r="H715" s="3">
        <f>(Sheet1!$Y$19*' Rolling-window portfolio analy'!B715+Sheet1!$Z$19*' Rolling-window portfolio analy'!C715+Sheet1!$AA$19*' Rolling-window portfolio analy'!D715+Sheet1!$AB$19*' Rolling-window portfolio analy'!E715+Sheet1!$AC$19*' Rolling-window portfolio analy'!F715)</f>
        <v>2.5607923643112665E-2</v>
      </c>
      <c r="I715" s="6">
        <f t="shared" si="20"/>
        <v>1.7032370282581788</v>
      </c>
      <c r="J715" s="86">
        <f t="shared" si="21"/>
        <v>4.879468047989579E-3</v>
      </c>
    </row>
    <row r="716" spans="1:10" x14ac:dyDescent="0.3">
      <c r="A716" s="2">
        <v>44992</v>
      </c>
      <c r="B716" s="3">
        <v>-1.46026233593885E-2</v>
      </c>
      <c r="C716" s="3">
        <v>-1.1101736566177238E-2</v>
      </c>
      <c r="D716" s="3">
        <v>-3.198007903427439E-2</v>
      </c>
      <c r="E716" s="3">
        <v>-1.6245280725169866E-2</v>
      </c>
      <c r="F716" s="3">
        <v>-2.822701101481782E-2</v>
      </c>
      <c r="G716" s="3">
        <v>-1.5445639173959797E-2</v>
      </c>
      <c r="H716" s="3">
        <f>(Sheet1!$Y$19*' Rolling-window portfolio analy'!B716+Sheet1!$Z$19*' Rolling-window portfolio analy'!C716+Sheet1!$AA$19*' Rolling-window portfolio analy'!D716+Sheet1!$AB$19*' Rolling-window portfolio analy'!E716+Sheet1!$AC$19*' Rolling-window portfolio analy'!F716)</f>
        <v>-1.2498132561776055E-2</v>
      </c>
      <c r="I716" s="6">
        <f t="shared" si="20"/>
        <v>1.6363742607362057</v>
      </c>
      <c r="J716" s="86">
        <f t="shared" si="21"/>
        <v>4.7238169126608848E-3</v>
      </c>
    </row>
    <row r="717" spans="1:10" x14ac:dyDescent="0.3">
      <c r="A717" s="2">
        <v>44991</v>
      </c>
      <c r="B717" s="3">
        <v>1.8369603989409514E-2</v>
      </c>
      <c r="C717" s="3">
        <v>-1.4334140875291404E-2</v>
      </c>
      <c r="D717" s="3">
        <v>-2.0327564080661682E-2</v>
      </c>
      <c r="E717" s="3">
        <v>-3.098373378775477E-4</v>
      </c>
      <c r="F717" s="3">
        <v>-1.977694544297574E-2</v>
      </c>
      <c r="G717" s="3">
        <v>6.8692352399550452E-4</v>
      </c>
      <c r="H717" s="3">
        <f>(Sheet1!$Y$19*' Rolling-window portfolio analy'!B717+Sheet1!$Z$19*' Rolling-window portfolio analy'!C717+Sheet1!$AA$19*' Rolling-window portfolio analy'!D717+Sheet1!$AB$19*' Rolling-window portfolio analy'!E717+Sheet1!$AC$19*' Rolling-window portfolio analy'!F717)</f>
        <v>-4.8818031244522459E-3</v>
      </c>
      <c r="I717" s="6">
        <f t="shared" si="20"/>
        <v>1.5878413628349655</v>
      </c>
      <c r="J717" s="86">
        <f t="shared" si="21"/>
        <v>5.1510566948455719E-3</v>
      </c>
    </row>
    <row r="718" spans="1:10" x14ac:dyDescent="0.3">
      <c r="A718" s="2">
        <v>44988</v>
      </c>
      <c r="B718" s="3">
        <v>3.4488499302319141E-2</v>
      </c>
      <c r="C718" s="3">
        <v>2.4577508290052473E-2</v>
      </c>
      <c r="D718" s="3">
        <v>3.5456131061615957E-2</v>
      </c>
      <c r="E718" s="3">
        <v>1.7815754851492026E-2</v>
      </c>
      <c r="F718" s="3">
        <v>-4.1646704436482393E-3</v>
      </c>
      <c r="G718" s="3">
        <v>1.6018800257414187E-2</v>
      </c>
      <c r="H718" s="3">
        <f>(Sheet1!$Y$19*' Rolling-window portfolio analy'!B718+Sheet1!$Z$19*' Rolling-window portfolio analy'!C718+Sheet1!$AA$19*' Rolling-window portfolio analy'!D718+Sheet1!$AB$19*' Rolling-window portfolio analy'!E718+Sheet1!$AC$19*' Rolling-window portfolio analy'!F718)</f>
        <v>2.6420503458722527E-2</v>
      </c>
      <c r="I718" s="6">
        <f t="shared" si="20"/>
        <v>1.5786931163050915</v>
      </c>
      <c r="J718" s="86">
        <f t="shared" si="21"/>
        <v>4.814542144657815E-3</v>
      </c>
    </row>
    <row r="719" spans="1:10" x14ac:dyDescent="0.3">
      <c r="A719" s="2">
        <v>44987</v>
      </c>
      <c r="B719" s="3">
        <v>4.1206019433265642E-3</v>
      </c>
      <c r="C719" s="3">
        <v>2.6517528560308694E-2</v>
      </c>
      <c r="D719" s="3">
        <v>-6.0322601048670592E-2</v>
      </c>
      <c r="E719" s="3">
        <v>1.9745864479593495E-2</v>
      </c>
      <c r="F719" s="3">
        <v>1.3518068742095522E-2</v>
      </c>
      <c r="G719" s="3">
        <v>7.5535420169248321E-3</v>
      </c>
      <c r="H719" s="3">
        <f>(Sheet1!$Y$19*' Rolling-window portfolio analy'!B719+Sheet1!$Z$19*' Rolling-window portfolio analy'!C719+Sheet1!$AA$19*' Rolling-window portfolio analy'!D719+Sheet1!$AB$19*' Rolling-window portfolio analy'!E719+Sheet1!$AC$19*' Rolling-window portfolio analy'!F719)</f>
        <v>2.0147939541614389E-2</v>
      </c>
      <c r="I719" s="6">
        <f t="shared" si="20"/>
        <v>1.596720554829216</v>
      </c>
      <c r="J719" s="86">
        <f t="shared" si="21"/>
        <v>4.9523969336644161E-3</v>
      </c>
    </row>
    <row r="720" spans="1:10" x14ac:dyDescent="0.3">
      <c r="A720" s="2">
        <v>44986</v>
      </c>
      <c r="B720" s="3">
        <v>-1.4348428726582282E-2</v>
      </c>
      <c r="C720" s="3">
        <v>-2.2649051782388425E-2</v>
      </c>
      <c r="D720" s="3">
        <v>-1.4395078184010264E-2</v>
      </c>
      <c r="E720" s="3">
        <v>1.5886215112327299E-2</v>
      </c>
      <c r="F720" s="3">
        <v>1.2062085934851497E-2</v>
      </c>
      <c r="G720" s="3">
        <v>-4.7364616152703798E-3</v>
      </c>
      <c r="H720" s="3">
        <f>(Sheet1!$Y$19*' Rolling-window portfolio analy'!B720+Sheet1!$Z$19*' Rolling-window portfolio analy'!C720+Sheet1!$AA$19*' Rolling-window portfolio analy'!D720+Sheet1!$AB$19*' Rolling-window portfolio analy'!E720+Sheet1!$AC$19*' Rolling-window portfolio analy'!F720)</f>
        <v>-1.6914376107961676E-2</v>
      </c>
      <c r="I720" s="6">
        <f t="shared" si="20"/>
        <v>1.4105550463879262</v>
      </c>
      <c r="J720" s="86">
        <f t="shared" si="21"/>
        <v>2.7435617265062716E-3</v>
      </c>
    </row>
    <row r="721" spans="1:10" x14ac:dyDescent="0.3">
      <c r="A721" s="2">
        <v>44985</v>
      </c>
      <c r="B721" s="3">
        <v>-3.4537670196825134E-3</v>
      </c>
      <c r="C721" s="3">
        <v>-1.1986444880367923E-2</v>
      </c>
      <c r="D721" s="3">
        <v>-9.2902395574988843E-3</v>
      </c>
      <c r="E721" s="3">
        <v>-1.4276686356682862E-2</v>
      </c>
      <c r="F721" s="3">
        <v>-9.1414283337870744E-3</v>
      </c>
      <c r="G721" s="3">
        <v>-3.0405976856194583E-3</v>
      </c>
      <c r="H721" s="3">
        <f>(Sheet1!$Y$19*' Rolling-window portfolio analy'!B721+Sheet1!$Z$19*' Rolling-window portfolio analy'!C721+Sheet1!$AA$19*' Rolling-window portfolio analy'!D721+Sheet1!$AB$19*' Rolling-window portfolio analy'!E721+Sheet1!$AC$19*' Rolling-window portfolio analy'!F721)</f>
        <v>-1.0076880512585498E-2</v>
      </c>
      <c r="I721" s="6">
        <f t="shared" si="20"/>
        <v>1.4265855844364836</v>
      </c>
      <c r="J721" s="86">
        <f t="shared" si="21"/>
        <v>2.4956923198349128E-3</v>
      </c>
    </row>
    <row r="722" spans="1:10" x14ac:dyDescent="0.3">
      <c r="A722" s="2">
        <v>44984</v>
      </c>
      <c r="B722" s="3">
        <v>8.2137379273166874E-3</v>
      </c>
      <c r="C722" s="3">
        <v>8.9763372538636463E-3</v>
      </c>
      <c r="D722" s="3">
        <v>5.3163243439081229E-2</v>
      </c>
      <c r="E722" s="3">
        <v>2.1492198147391221E-2</v>
      </c>
      <c r="F722" s="3">
        <v>6.5019508142365721E-4</v>
      </c>
      <c r="G722" s="3">
        <v>3.0683048311681872E-3</v>
      </c>
      <c r="H722" s="3">
        <f>(Sheet1!$Y$19*' Rolling-window portfolio analy'!B722+Sheet1!$Z$19*' Rolling-window portfolio analy'!C722+Sheet1!$AA$19*' Rolling-window portfolio analy'!D722+Sheet1!$AB$19*' Rolling-window portfolio analy'!E722+Sheet1!$AC$19*' Rolling-window portfolio analy'!F722)</f>
        <v>1.0054095962384135E-2</v>
      </c>
      <c r="I722" s="6">
        <f t="shared" si="20"/>
        <v>1.4269707057701668</v>
      </c>
      <c r="J722" s="86">
        <f t="shared" si="21"/>
        <v>2.5566384803734628E-3</v>
      </c>
    </row>
    <row r="723" spans="1:10" x14ac:dyDescent="0.3">
      <c r="A723" s="2">
        <v>44981</v>
      </c>
      <c r="B723" s="3">
        <v>-1.8169423547164231E-2</v>
      </c>
      <c r="C723" s="3">
        <v>-1.5761774653991156E-2</v>
      </c>
      <c r="D723" s="3">
        <v>-2.6019765942604411E-2</v>
      </c>
      <c r="E723" s="3">
        <v>-2.9580958299908495E-3</v>
      </c>
      <c r="F723" s="3">
        <v>3.2573318703065048E-3</v>
      </c>
      <c r="G723" s="3">
        <v>-1.0593457421727142E-2</v>
      </c>
      <c r="H723" s="3">
        <f>(Sheet1!$Y$19*' Rolling-window portfolio analy'!B723+Sheet1!$Z$19*' Rolling-window portfolio analy'!C723+Sheet1!$AA$19*' Rolling-window portfolio analy'!D723+Sheet1!$AB$19*' Rolling-window portfolio analy'!E723+Sheet1!$AC$19*' Rolling-window portfolio analy'!F723)</f>
        <v>-1.5164552283638858E-2</v>
      </c>
      <c r="I723" s="6">
        <f t="shared" si="20"/>
        <v>1.4322377784256344</v>
      </c>
      <c r="J723" s="86">
        <f t="shared" si="21"/>
        <v>2.5946461047241477E-3</v>
      </c>
    </row>
    <row r="724" spans="1:10" x14ac:dyDescent="0.3">
      <c r="A724" s="2">
        <v>44980</v>
      </c>
      <c r="B724" s="3">
        <v>3.285176096603322E-3</v>
      </c>
      <c r="C724" s="3">
        <v>0.13123961187353336</v>
      </c>
      <c r="D724" s="3">
        <v>6.0060240602117284E-3</v>
      </c>
      <c r="E724" s="3">
        <v>1.3879932016401121E-2</v>
      </c>
      <c r="F724" s="3">
        <v>2.1768669621302642E-2</v>
      </c>
      <c r="G724" s="3">
        <v>5.3152734602749932E-3</v>
      </c>
      <c r="H724" s="3">
        <f>(Sheet1!$Y$19*' Rolling-window portfolio analy'!B724+Sheet1!$Z$19*' Rolling-window portfolio analy'!C724+Sheet1!$AA$19*' Rolling-window portfolio analy'!D724+Sheet1!$AB$19*' Rolling-window portfolio analy'!E724+Sheet1!$AC$19*' Rolling-window portfolio analy'!F724)</f>
        <v>8.8059611570032406E-2</v>
      </c>
      <c r="I724" s="6">
        <f t="shared" si="20"/>
        <v>1.4988337865706751</v>
      </c>
      <c r="J724" s="86">
        <f t="shared" si="21"/>
        <v>3.9984636697361691E-3</v>
      </c>
    </row>
    <row r="725" spans="1:10" x14ac:dyDescent="0.3">
      <c r="A725" s="2">
        <v>44979</v>
      </c>
      <c r="B725" s="3">
        <v>2.8918275642232701E-3</v>
      </c>
      <c r="C725" s="3">
        <v>4.3467829852148008E-3</v>
      </c>
      <c r="D725" s="3">
        <v>1.752800819917669E-2</v>
      </c>
      <c r="E725" s="3">
        <v>-2.6586921609931791E-3</v>
      </c>
      <c r="F725" s="3">
        <v>-1.9809165401894466E-2</v>
      </c>
      <c r="G725" s="3">
        <v>-1.5747857327715093E-3</v>
      </c>
      <c r="H725" s="3">
        <f>(Sheet1!$Y$19*' Rolling-window portfolio analy'!B725+Sheet1!$Z$19*' Rolling-window portfolio analy'!C725+Sheet1!$AA$19*' Rolling-window portfolio analy'!D725+Sheet1!$AB$19*' Rolling-window portfolio analy'!E725+Sheet1!$AC$19*' Rolling-window portfolio analy'!F725)</f>
        <v>3.3443222757886131E-3</v>
      </c>
      <c r="I725" s="6">
        <f t="shared" si="20"/>
        <v>1.4628204648597223</v>
      </c>
      <c r="J725" s="86">
        <f t="shared" si="21"/>
        <v>3.7205813310787466E-3</v>
      </c>
    </row>
    <row r="726" spans="1:10" x14ac:dyDescent="0.3">
      <c r="A726" s="2">
        <v>44978</v>
      </c>
      <c r="B726" s="3">
        <v>-2.704214212478832E-2</v>
      </c>
      <c r="C726" s="3">
        <v>-3.4724059402821777E-2</v>
      </c>
      <c r="D726" s="3">
        <v>-5.3947215029807226E-2</v>
      </c>
      <c r="E726" s="3">
        <v>-1.515180502060222E-2</v>
      </c>
      <c r="F726" s="3">
        <v>-2.0065398119876027E-2</v>
      </c>
      <c r="G726" s="3">
        <v>-2.0244784414123935E-2</v>
      </c>
      <c r="H726" s="3">
        <f>(Sheet1!$Y$19*' Rolling-window portfolio analy'!B726+Sheet1!$Z$19*' Rolling-window portfolio analy'!C726+Sheet1!$AA$19*' Rolling-window portfolio analy'!D726+Sheet1!$AB$19*' Rolling-window portfolio analy'!E726+Sheet1!$AC$19*' Rolling-window portfolio analy'!F726)</f>
        <v>-3.0991924885455154E-2</v>
      </c>
      <c r="I726" s="6">
        <f t="shared" si="20"/>
        <v>1.4791561656741172</v>
      </c>
      <c r="J726" s="86">
        <f t="shared" si="21"/>
        <v>3.6114367705262131E-3</v>
      </c>
    </row>
    <row r="727" spans="1:10" x14ac:dyDescent="0.3">
      <c r="A727" s="2">
        <v>44974</v>
      </c>
      <c r="B727" s="3">
        <v>-7.5752990741620625E-3</v>
      </c>
      <c r="C727" s="3">
        <v>-2.8118930264001578E-2</v>
      </c>
      <c r="D727" s="3">
        <v>3.0561657195971752E-2</v>
      </c>
      <c r="E727" s="3">
        <v>-5.3154914534250704E-2</v>
      </c>
      <c r="F727" s="3">
        <v>3.2092453731425432E-3</v>
      </c>
      <c r="G727" s="3">
        <v>-2.7712852059047503E-3</v>
      </c>
      <c r="H727" s="3">
        <f>(Sheet1!$Y$19*' Rolling-window portfolio analy'!B727+Sheet1!$Z$19*' Rolling-window portfolio analy'!C727+Sheet1!$AA$19*' Rolling-window portfolio analy'!D727+Sheet1!$AB$19*' Rolling-window portfolio analy'!E727+Sheet1!$AC$19*' Rolling-window portfolio analy'!F727)</f>
        <v>-2.5278593243340031E-2</v>
      </c>
      <c r="I727" s="6">
        <f t="shared" si="20"/>
        <v>1.5066317935616322</v>
      </c>
      <c r="J727" s="86">
        <f t="shared" si="21"/>
        <v>3.02814851719087E-3</v>
      </c>
    </row>
    <row r="728" spans="1:10" x14ac:dyDescent="0.3">
      <c r="A728" s="2">
        <v>44973</v>
      </c>
      <c r="B728" s="3">
        <v>-1.0484175762975069E-2</v>
      </c>
      <c r="C728" s="3">
        <v>-3.3962155899814411E-2</v>
      </c>
      <c r="D728" s="3">
        <v>-5.8631184343010671E-2</v>
      </c>
      <c r="E728" s="3">
        <v>3.4156220134343037E-3</v>
      </c>
      <c r="F728" s="3">
        <v>-1.7840549641002887E-2</v>
      </c>
      <c r="G728" s="3">
        <v>-1.3884644172642286E-2</v>
      </c>
      <c r="H728" s="3">
        <f>(Sheet1!$Y$19*' Rolling-window portfolio analy'!B728+Sheet1!$Z$19*' Rolling-window portfolio analy'!C728+Sheet1!$AA$19*' Rolling-window portfolio analy'!D728+Sheet1!$AB$19*' Rolling-window portfolio analy'!E728+Sheet1!$AC$19*' Rolling-window portfolio analy'!F728)</f>
        <v>-2.4622647162658714E-2</v>
      </c>
      <c r="I728" s="6">
        <f t="shared" si="20"/>
        <v>1.5201457533552052</v>
      </c>
      <c r="J728" s="86">
        <f t="shared" si="21"/>
        <v>2.8109169354695088E-3</v>
      </c>
    </row>
    <row r="729" spans="1:10" x14ac:dyDescent="0.3">
      <c r="A729" s="2">
        <v>44972</v>
      </c>
      <c r="B729" s="3">
        <v>1.3807628693325091E-2</v>
      </c>
      <c r="C729" s="3">
        <v>-9.1844074428766437E-3</v>
      </c>
      <c r="D729" s="3">
        <v>2.3567172573277697E-2</v>
      </c>
      <c r="E729" s="3">
        <v>-9.596111402816845E-3</v>
      </c>
      <c r="F729" s="3">
        <v>7.2888929895427038E-3</v>
      </c>
      <c r="G729" s="3">
        <v>2.7692856551893739E-3</v>
      </c>
      <c r="H729" s="3">
        <f>(Sheet1!$Y$19*' Rolling-window portfolio analy'!B729+Sheet1!$Z$19*' Rolling-window portfolio analy'!C729+Sheet1!$AA$19*' Rolling-window portfolio analy'!D729+Sheet1!$AB$19*' Rolling-window portfolio analy'!E729+Sheet1!$AC$19*' Rolling-window portfolio analy'!F729)</f>
        <v>-3.4463431832457759E-3</v>
      </c>
      <c r="I729" s="6">
        <f t="shared" si="20"/>
        <v>1.5127552571698699</v>
      </c>
      <c r="J729" s="86">
        <f t="shared" si="21"/>
        <v>2.7455623259438804E-3</v>
      </c>
    </row>
    <row r="730" spans="1:10" x14ac:dyDescent="0.3">
      <c r="A730" s="2">
        <v>44971</v>
      </c>
      <c r="B730" s="3">
        <v>-4.2338444615599704E-3</v>
      </c>
      <c r="C730" s="3">
        <v>5.2737867744478334E-2</v>
      </c>
      <c r="D730" s="3">
        <v>7.2378010894317599E-2</v>
      </c>
      <c r="E730" s="3">
        <v>-9.8100112292385192E-3</v>
      </c>
      <c r="F730" s="3">
        <v>-6.0250697565516582E-3</v>
      </c>
      <c r="G730" s="3">
        <v>-2.8041608128225108E-4</v>
      </c>
      <c r="H730" s="3">
        <f>(Sheet1!$Y$19*' Rolling-window portfolio analy'!B730+Sheet1!$Z$19*' Rolling-window portfolio analy'!C730+Sheet1!$AA$19*' Rolling-window portfolio analy'!D730+Sheet1!$AB$19*' Rolling-window portfolio analy'!E730+Sheet1!$AC$19*' Rolling-window portfolio analy'!F730)</f>
        <v>3.2672275511004802E-2</v>
      </c>
      <c r="I730" s="6">
        <f t="shared" si="20"/>
        <v>1.508364421899852</v>
      </c>
      <c r="J730" s="86">
        <f t="shared" si="21"/>
        <v>3.3963001039643841E-3</v>
      </c>
    </row>
    <row r="731" spans="1:10" x14ac:dyDescent="0.3">
      <c r="A731" s="2">
        <v>44970</v>
      </c>
      <c r="B731" s="3">
        <v>1.8632041980353162E-2</v>
      </c>
      <c r="C731" s="3">
        <v>2.4623776042726597E-2</v>
      </c>
      <c r="D731" s="3">
        <v>-1.1493498678473935E-2</v>
      </c>
      <c r="E731" s="3">
        <v>-4.2618024931854303E-3</v>
      </c>
      <c r="F731" s="3">
        <v>1.8987347476571719E-3</v>
      </c>
      <c r="G731" s="3">
        <v>1.1383550959928976E-2</v>
      </c>
      <c r="H731" s="3">
        <f>(Sheet1!$Y$19*' Rolling-window portfolio analy'!B731+Sheet1!$Z$19*' Rolling-window portfolio analy'!C731+Sheet1!$AA$19*' Rolling-window portfolio analy'!D731+Sheet1!$AB$19*' Rolling-window portfolio analy'!E731+Sheet1!$AC$19*' Rolling-window portfolio analy'!F731)</f>
        <v>2.0328123240344203E-2</v>
      </c>
      <c r="I731" s="6">
        <f t="shared" si="20"/>
        <v>1.5090268322058267</v>
      </c>
      <c r="J731" s="86">
        <f t="shared" si="21"/>
        <v>3.4141948327863487E-3</v>
      </c>
    </row>
    <row r="732" spans="1:10" x14ac:dyDescent="0.3">
      <c r="A732" s="2">
        <v>44967</v>
      </c>
      <c r="B732" s="3">
        <v>9.2752093571453324E-4</v>
      </c>
      <c r="C732" s="3">
        <v>-4.9551420727252701E-2</v>
      </c>
      <c r="D732" s="3">
        <v>-5.1618296167764803E-2</v>
      </c>
      <c r="E732" s="3">
        <v>2.2735234244631957E-2</v>
      </c>
      <c r="F732" s="3">
        <v>1.4035318116383583E-2</v>
      </c>
      <c r="G732" s="3">
        <v>2.1928652588764841E-3</v>
      </c>
      <c r="H732" s="3">
        <f>(Sheet1!$Y$19*' Rolling-window portfolio analy'!B732+Sheet1!$Z$19*' Rolling-window portfolio analy'!C732+Sheet1!$AA$19*' Rolling-window portfolio analy'!D732+Sheet1!$AB$19*' Rolling-window portfolio analy'!E732+Sheet1!$AC$19*' Rolling-window portfolio analy'!F732)</f>
        <v>-3.0144767748213116E-2</v>
      </c>
      <c r="I732" s="6">
        <f t="shared" si="20"/>
        <v>1.4850761682277405</v>
      </c>
      <c r="J732" s="86">
        <f t="shared" si="21"/>
        <v>2.9996427945543202E-3</v>
      </c>
    </row>
    <row r="733" spans="1:10" x14ac:dyDescent="0.3">
      <c r="A733" s="2">
        <v>44966</v>
      </c>
      <c r="B733" s="3">
        <v>-6.9355276520472551E-3</v>
      </c>
      <c r="C733" s="3">
        <v>6.2865047628208248E-3</v>
      </c>
      <c r="D733" s="3">
        <v>2.9516839008565374E-2</v>
      </c>
      <c r="E733" s="3">
        <v>-1.204647772390499E-2</v>
      </c>
      <c r="F733" s="3">
        <v>-2.6000196370027026E-2</v>
      </c>
      <c r="G733" s="3">
        <v>-8.869043032445954E-3</v>
      </c>
      <c r="H733" s="3">
        <f>(Sheet1!$Y$19*' Rolling-window portfolio analy'!B733+Sheet1!$Z$19*' Rolling-window portfolio analy'!C733+Sheet1!$AA$19*' Rolling-window portfolio analy'!D733+Sheet1!$AB$19*' Rolling-window portfolio analy'!E733+Sheet1!$AC$19*' Rolling-window portfolio analy'!F733)</f>
        <v>1.3014666310630092E-3</v>
      </c>
      <c r="I733" s="6">
        <f t="shared" si="20"/>
        <v>1.4657493441389218</v>
      </c>
      <c r="J733" s="86">
        <f t="shared" si="21"/>
        <v>3.0805665108316754E-3</v>
      </c>
    </row>
    <row r="734" spans="1:10" x14ac:dyDescent="0.3">
      <c r="A734" s="2">
        <v>44965</v>
      </c>
      <c r="B734" s="3">
        <v>-1.7810432627048289E-2</v>
      </c>
      <c r="C734" s="3">
        <v>1.3522652500135325E-3</v>
      </c>
      <c r="D734" s="3">
        <v>2.2507857977594494E-2</v>
      </c>
      <c r="E734" s="3">
        <v>1.5363346085320935E-3</v>
      </c>
      <c r="F734" s="3">
        <v>-1.0585403946640084E-2</v>
      </c>
      <c r="G734" s="3">
        <v>-1.1142539811002886E-2</v>
      </c>
      <c r="H734" s="3">
        <f>(Sheet1!$Y$19*' Rolling-window portfolio analy'!B734+Sheet1!$Z$19*' Rolling-window portfolio analy'!C734+Sheet1!$AA$19*' Rolling-window portfolio analy'!D734+Sheet1!$AB$19*' Rolling-window portfolio analy'!E734+Sheet1!$AC$19*' Rolling-window portfolio analy'!F734)</f>
        <v>-3.3573337727241192E-3</v>
      </c>
      <c r="I734" s="6">
        <f t="shared" si="20"/>
        <v>1.4056051260356981</v>
      </c>
      <c r="J734" s="86">
        <f t="shared" si="21"/>
        <v>3.0259680776623522E-3</v>
      </c>
    </row>
    <row r="735" spans="1:10" x14ac:dyDescent="0.3">
      <c r="A735" s="2">
        <v>44964</v>
      </c>
      <c r="B735" s="3">
        <v>1.9061873593928951E-2</v>
      </c>
      <c r="C735" s="3">
        <v>4.9941029137536862E-2</v>
      </c>
      <c r="D735" s="3">
        <v>1.0470765020845787E-2</v>
      </c>
      <c r="E735" s="3">
        <v>2.6801230226743866E-2</v>
      </c>
      <c r="F735" s="3">
        <v>7.4604014035048998E-3</v>
      </c>
      <c r="G735" s="3">
        <v>1.2790383040919152E-2</v>
      </c>
      <c r="H735" s="3">
        <f>(Sheet1!$Y$19*' Rolling-window portfolio analy'!B735+Sheet1!$Z$19*' Rolling-window portfolio analy'!C735+Sheet1!$AA$19*' Rolling-window portfolio analy'!D735+Sheet1!$AB$19*' Rolling-window portfolio analy'!E735+Sheet1!$AC$19*' Rolling-window portfolio analy'!F735)</f>
        <v>3.9995275927136371E-2</v>
      </c>
      <c r="I735" s="6">
        <f t="shared" si="20"/>
        <v>1.4489105700881801</v>
      </c>
      <c r="J735" s="86">
        <f t="shared" si="21"/>
        <v>3.3833782636509056E-3</v>
      </c>
    </row>
    <row r="736" spans="1:10" x14ac:dyDescent="0.3">
      <c r="A736" s="2">
        <v>44963</v>
      </c>
      <c r="B736" s="3">
        <v>-1.8091470800650468E-2</v>
      </c>
      <c r="C736" s="3">
        <v>-4.7404599133764444E-4</v>
      </c>
      <c r="D736" s="3">
        <v>2.4849227852463712E-2</v>
      </c>
      <c r="E736" s="3">
        <v>9.2020322502792771E-3</v>
      </c>
      <c r="F736" s="3">
        <v>-6.8408226971915908E-3</v>
      </c>
      <c r="G736" s="3">
        <v>-6.1594169191690872E-3</v>
      </c>
      <c r="H736" s="3">
        <f>(Sheet1!$Y$19*' Rolling-window portfolio analy'!B736+Sheet1!$Z$19*' Rolling-window portfolio analy'!C736+Sheet1!$AA$19*' Rolling-window portfolio analy'!D736+Sheet1!$AB$19*' Rolling-window portfolio analy'!E736+Sheet1!$AC$19*' Rolling-window portfolio analy'!F736)</f>
        <v>-3.8913844845429963E-3</v>
      </c>
      <c r="I736" s="6">
        <f t="shared" si="20"/>
        <v>1.4418330971074873</v>
      </c>
      <c r="J736" s="86">
        <f t="shared" si="21"/>
        <v>3.4762807905233456E-3</v>
      </c>
    </row>
    <row r="737" spans="1:10" x14ac:dyDescent="0.3">
      <c r="A737" s="2">
        <v>44960</v>
      </c>
      <c r="B737" s="3">
        <v>2.4107023563299301E-2</v>
      </c>
      <c r="C737" s="3">
        <v>-2.8499943408179681E-2</v>
      </c>
      <c r="D737" s="3">
        <v>9.0417007254158539E-3</v>
      </c>
      <c r="E737" s="3">
        <v>-6.3734865127543987E-4</v>
      </c>
      <c r="F737" s="3">
        <v>-1.1400524032035708E-2</v>
      </c>
      <c r="G737" s="3">
        <v>-1.0408643989373002E-2</v>
      </c>
      <c r="H737" s="3">
        <f>(Sheet1!$Y$19*' Rolling-window portfolio analy'!B737+Sheet1!$Z$19*' Rolling-window portfolio analy'!C737+Sheet1!$AA$19*' Rolling-window portfolio analy'!D737+Sheet1!$AB$19*' Rolling-window portfolio analy'!E737+Sheet1!$AC$19*' Rolling-window portfolio analy'!F737)</f>
        <v>-1.2706352446636485E-2</v>
      </c>
      <c r="I737" s="6">
        <f t="shared" si="20"/>
        <v>1.4235866984977328</v>
      </c>
      <c r="J737" s="86">
        <f t="shared" si="21"/>
        <v>3.6103110261094884E-3</v>
      </c>
    </row>
    <row r="738" spans="1:10" x14ac:dyDescent="0.3">
      <c r="A738" s="2">
        <v>44959</v>
      </c>
      <c r="B738" s="3">
        <v>3.6392201584881996E-2</v>
      </c>
      <c r="C738" s="3">
        <v>3.6111778447809641E-2</v>
      </c>
      <c r="D738" s="3">
        <v>3.7117439783389342E-2</v>
      </c>
      <c r="E738" s="3">
        <v>-1.8933983107564358E-2</v>
      </c>
      <c r="F738" s="3">
        <v>3.2697915281912515E-2</v>
      </c>
      <c r="G738" s="3">
        <v>1.4592431217642185E-2</v>
      </c>
      <c r="H738" s="3">
        <f>(Sheet1!$Y$19*' Rolling-window portfolio analy'!B738+Sheet1!$Z$19*' Rolling-window portfolio analy'!C738+Sheet1!$AA$19*' Rolling-window portfolio analy'!D738+Sheet1!$AB$19*' Rolling-window portfolio analy'!E738+Sheet1!$AC$19*' Rolling-window portfolio analy'!F738)</f>
        <v>3.0961654650888785E-2</v>
      </c>
      <c r="I738" s="6">
        <f t="shared" si="20"/>
        <v>1.4432157360385811</v>
      </c>
      <c r="J738" s="86">
        <f t="shared" si="21"/>
        <v>3.3455593983549611E-3</v>
      </c>
    </row>
    <row r="739" spans="1:10" x14ac:dyDescent="0.3">
      <c r="A739" s="2">
        <v>44958</v>
      </c>
      <c r="B739" s="3">
        <v>7.8697078804544941E-3</v>
      </c>
      <c r="C739" s="3">
        <v>6.9197558827754302E-2</v>
      </c>
      <c r="D739" s="3">
        <v>4.6197200050332489E-2</v>
      </c>
      <c r="E739" s="3">
        <v>7.8456388631635132E-3</v>
      </c>
      <c r="F739" s="3">
        <v>2.1437391094772461E-2</v>
      </c>
      <c r="G739" s="3">
        <v>1.0398089735210484E-2</v>
      </c>
      <c r="H739" s="3">
        <f>(Sheet1!$Y$19*' Rolling-window portfolio analy'!B739+Sheet1!$Z$19*' Rolling-window portfolio analy'!C739+Sheet1!$AA$19*' Rolling-window portfolio analy'!D739+Sheet1!$AB$19*' Rolling-window portfolio analy'!E739+Sheet1!$AC$19*' Rolling-window portfolio analy'!F739)</f>
        <v>4.8084784960501531E-2</v>
      </c>
      <c r="I739" s="6">
        <f t="shared" si="20"/>
        <v>1.4967579781347211</v>
      </c>
      <c r="J739" s="86">
        <f t="shared" si="21"/>
        <v>3.8303049040393135E-3</v>
      </c>
    </row>
    <row r="740" spans="1:10" x14ac:dyDescent="0.3">
      <c r="A740" s="2">
        <v>44957</v>
      </c>
      <c r="B740" s="3">
        <v>8.9805330492570522E-3</v>
      </c>
      <c r="C740" s="3">
        <v>1.9638874071922042E-2</v>
      </c>
      <c r="D740" s="3">
        <v>3.8606653948837992E-2</v>
      </c>
      <c r="E740" s="3">
        <v>2.2945557349870322E-2</v>
      </c>
      <c r="F740" s="3">
        <v>3.4213863454604643E-2</v>
      </c>
      <c r="G740" s="3">
        <v>1.4536285322318165E-2</v>
      </c>
      <c r="H740" s="3">
        <f>(Sheet1!$Y$19*' Rolling-window portfolio analy'!B740+Sheet1!$Z$19*' Rolling-window portfolio analy'!C740+Sheet1!$AA$19*' Rolling-window portfolio analy'!D740+Sheet1!$AB$19*' Rolling-window portfolio analy'!E740+Sheet1!$AC$19*' Rolling-window portfolio analy'!F740)</f>
        <v>1.7336405643996907E-2</v>
      </c>
      <c r="I740" s="6">
        <f t="shared" si="20"/>
        <v>1.5421757791378941</v>
      </c>
      <c r="J740" s="86">
        <f t="shared" si="21"/>
        <v>4.0097124815832701E-3</v>
      </c>
    </row>
    <row r="741" spans="1:10" x14ac:dyDescent="0.3">
      <c r="A741" s="2">
        <v>44956</v>
      </c>
      <c r="B741" s="3">
        <v>-2.0282424419747112E-2</v>
      </c>
      <c r="C741" s="3">
        <v>-6.0747419139607448E-2</v>
      </c>
      <c r="D741" s="3">
        <v>-6.5265785717728814E-2</v>
      </c>
      <c r="E741" s="3">
        <v>-8.9859397977148422E-3</v>
      </c>
      <c r="F741" s="3">
        <v>-6.6711388170225348E-3</v>
      </c>
      <c r="G741" s="3">
        <v>-1.3053559781991077E-2</v>
      </c>
      <c r="H741" s="3">
        <f>(Sheet1!$Y$19*' Rolling-window portfolio analy'!B741+Sheet1!$Z$19*' Rolling-window portfolio analy'!C741+Sheet1!$AA$19*' Rolling-window portfolio analy'!D741+Sheet1!$AB$19*' Rolling-window portfolio analy'!E741+Sheet1!$AC$19*' Rolling-window portfolio analy'!F741)</f>
        <v>-4.57825401512E-2</v>
      </c>
      <c r="I741" s="6">
        <f t="shared" si="20"/>
        <v>1.6237433563794879</v>
      </c>
      <c r="J741" s="86">
        <f t="shared" si="21"/>
        <v>3.2310921666206982E-3</v>
      </c>
    </row>
    <row r="742" spans="1:10" x14ac:dyDescent="0.3">
      <c r="A742" s="2">
        <v>44953</v>
      </c>
      <c r="B742" s="3">
        <v>1.3591571468824453E-2</v>
      </c>
      <c r="C742" s="3">
        <v>2.7890253981832404E-2</v>
      </c>
      <c r="D742" s="3">
        <v>0.10436170166630546</v>
      </c>
      <c r="E742" s="3">
        <v>-1.5848192240023616E-2</v>
      </c>
      <c r="F742" s="3">
        <v>-2.3244240915553855E-3</v>
      </c>
      <c r="G742" s="3">
        <v>2.4917027916841637E-3</v>
      </c>
      <c r="H742" s="3">
        <f>(Sheet1!$Y$19*' Rolling-window portfolio analy'!B742+Sheet1!$Z$19*' Rolling-window portfolio analy'!C742+Sheet1!$AA$19*' Rolling-window portfolio analy'!D742+Sheet1!$AB$19*' Rolling-window portfolio analy'!E742+Sheet1!$AC$19*' Rolling-window portfolio analy'!F742)</f>
        <v>2.0324050474167705E-2</v>
      </c>
      <c r="I742" s="6">
        <f t="shared" si="20"/>
        <v>1.6225252648817614</v>
      </c>
      <c r="J742" s="86">
        <f t="shared" si="21"/>
        <v>3.4864497666247255E-3</v>
      </c>
    </row>
    <row r="743" spans="1:10" x14ac:dyDescent="0.3">
      <c r="A743" s="2">
        <v>44952</v>
      </c>
      <c r="B743" s="3">
        <v>1.469482743688913E-2</v>
      </c>
      <c r="C743" s="3">
        <v>2.454110891611766E-2</v>
      </c>
      <c r="D743" s="3">
        <v>0.1040649318924087</v>
      </c>
      <c r="E743" s="3">
        <v>2.5479085300984968E-2</v>
      </c>
      <c r="F743" s="3">
        <v>-2.9413885206293341E-2</v>
      </c>
      <c r="G743" s="3">
        <v>1.0947717569977039E-2</v>
      </c>
      <c r="H743" s="3">
        <f>(Sheet1!$Y$19*' Rolling-window portfolio analy'!B743+Sheet1!$Z$19*' Rolling-window portfolio analy'!C743+Sheet1!$AA$19*' Rolling-window portfolio analy'!D743+Sheet1!$AB$19*' Rolling-window portfolio analy'!E743+Sheet1!$AC$19*' Rolling-window portfolio analy'!F743)</f>
        <v>2.2325715865119597E-2</v>
      </c>
      <c r="I743" s="6">
        <f t="shared" si="20"/>
        <v>1.6251023215767346</v>
      </c>
      <c r="J743" s="86">
        <f t="shared" si="21"/>
        <v>3.5816097865561834E-3</v>
      </c>
    </row>
    <row r="744" spans="1:10" x14ac:dyDescent="0.3">
      <c r="A744" s="2">
        <v>44951</v>
      </c>
      <c r="B744" s="3">
        <v>-4.7118480929988632E-3</v>
      </c>
      <c r="C744" s="3">
        <v>3.1104224143923302E-3</v>
      </c>
      <c r="D744" s="3">
        <v>3.7458423377492245E-3</v>
      </c>
      <c r="E744" s="3">
        <v>2.7802281311951779E-2</v>
      </c>
      <c r="F744" s="3">
        <v>-2.5752496102414625E-2</v>
      </c>
      <c r="G744" s="3">
        <v>-1.8174643434897735E-4</v>
      </c>
      <c r="H744" s="3">
        <f>(Sheet1!$Y$19*' Rolling-window portfolio analy'!B744+Sheet1!$Z$19*' Rolling-window portfolio analy'!C744+Sheet1!$AA$19*' Rolling-window portfolio analy'!D744+Sheet1!$AB$19*' Rolling-window portfolio analy'!E744+Sheet1!$AC$19*' Rolling-window portfolio analy'!F744)</f>
        <v>3.5086012637537654E-3</v>
      </c>
      <c r="I744" s="6">
        <f t="shared" si="20"/>
        <v>1.6257334495190878</v>
      </c>
      <c r="J744" s="86">
        <f t="shared" si="21"/>
        <v>3.7243317545149774E-3</v>
      </c>
    </row>
    <row r="745" spans="1:10" x14ac:dyDescent="0.3">
      <c r="A745" s="2">
        <v>44950</v>
      </c>
      <c r="B745" s="3">
        <v>1.0012775797270213E-2</v>
      </c>
      <c r="C745" s="3">
        <v>3.6410963503709461E-3</v>
      </c>
      <c r="D745" s="3">
        <v>9.7343909786638827E-4</v>
      </c>
      <c r="E745" s="3">
        <v>-1.4488234989617672E-2</v>
      </c>
      <c r="F745" s="3">
        <v>-5.9458788847764924E-3</v>
      </c>
      <c r="G745" s="3">
        <v>-7.1172963252109358E-4</v>
      </c>
      <c r="H745" s="3">
        <f>(Sheet1!$Y$19*' Rolling-window portfolio analy'!B745+Sheet1!$Z$19*' Rolling-window portfolio analy'!C745+Sheet1!$AA$19*' Rolling-window portfolio analy'!D745+Sheet1!$AB$19*' Rolling-window portfolio analy'!E745+Sheet1!$AC$19*' Rolling-window portfolio analy'!F745)</f>
        <v>3.5010213196055295E-3</v>
      </c>
      <c r="I745" s="6">
        <f t="shared" si="20"/>
        <v>1.6052220828021631</v>
      </c>
      <c r="J745" s="86">
        <f t="shared" si="21"/>
        <v>4.0292335777224178E-3</v>
      </c>
    </row>
    <row r="746" spans="1:10" x14ac:dyDescent="0.3">
      <c r="A746" s="2">
        <v>44949</v>
      </c>
      <c r="B746" s="3">
        <v>2.3228515886131697E-2</v>
      </c>
      <c r="C746" s="3">
        <v>7.2946182867745304E-2</v>
      </c>
      <c r="D746" s="3">
        <v>7.4573632396090578E-2</v>
      </c>
      <c r="E746" s="3">
        <v>-1.5569565242143944E-2</v>
      </c>
      <c r="F746" s="3">
        <v>1.2488293849074129E-3</v>
      </c>
      <c r="G746" s="3">
        <v>1.1811328415709267E-2</v>
      </c>
      <c r="H746" s="3">
        <f>(Sheet1!$Y$19*' Rolling-window portfolio analy'!B746+Sheet1!$Z$19*' Rolling-window portfolio analy'!C746+Sheet1!$AA$19*' Rolling-window portfolio analy'!D746+Sheet1!$AB$19*' Rolling-window portfolio analy'!E746+Sheet1!$AC$19*' Rolling-window portfolio analy'!F746)</f>
        <v>5.2188543944217951E-2</v>
      </c>
      <c r="I746" s="6">
        <f t="shared" si="20"/>
        <v>1.6650322741466965</v>
      </c>
      <c r="J746" s="86">
        <f t="shared" si="21"/>
        <v>4.3596441774463417E-3</v>
      </c>
    </row>
    <row r="747" spans="1:10" x14ac:dyDescent="0.3">
      <c r="A747" s="2">
        <v>44946</v>
      </c>
      <c r="B747" s="3">
        <v>1.9038431082435071E-2</v>
      </c>
      <c r="C747" s="3">
        <v>6.2448032097926237E-2</v>
      </c>
      <c r="D747" s="3">
        <v>4.7977273248713807E-2</v>
      </c>
      <c r="E747" s="3">
        <v>1.8843962404792663E-2</v>
      </c>
      <c r="F747" s="3">
        <v>1.4474764994549423E-2</v>
      </c>
      <c r="G747" s="3">
        <v>1.8741671559172491E-2</v>
      </c>
      <c r="H747" s="3">
        <f>(Sheet1!$Y$19*' Rolling-window portfolio analy'!B747+Sheet1!$Z$19*' Rolling-window portfolio analy'!C747+Sheet1!$AA$19*' Rolling-window portfolio analy'!D747+Sheet1!$AB$19*' Rolling-window portfolio analy'!E747+Sheet1!$AC$19*' Rolling-window portfolio analy'!F747)</f>
        <v>4.749025927387563E-2</v>
      </c>
      <c r="I747" s="6">
        <f t="shared" si="20"/>
        <v>1.7019250818601952</v>
      </c>
      <c r="J747" s="86">
        <f t="shared" si="21"/>
        <v>4.3052550199181869E-3</v>
      </c>
    </row>
    <row r="748" spans="1:10" x14ac:dyDescent="0.3">
      <c r="A748" s="2">
        <v>44945</v>
      </c>
      <c r="B748" s="3">
        <v>4.4365573043603028E-4</v>
      </c>
      <c r="C748" s="3">
        <v>-3.632502478330886E-2</v>
      </c>
      <c r="D748" s="3">
        <v>-1.2580748077381998E-2</v>
      </c>
      <c r="E748" s="3">
        <v>-6.5381076314815351E-3</v>
      </c>
      <c r="F748" s="3">
        <v>-2.1324106840124236E-2</v>
      </c>
      <c r="G748" s="3">
        <v>-7.6676696075208299E-3</v>
      </c>
      <c r="H748" s="3">
        <f>(Sheet1!$Y$19*' Rolling-window portfolio analy'!B748+Sheet1!$Z$19*' Rolling-window portfolio analy'!C748+Sheet1!$AA$19*' Rolling-window portfolio analy'!D748+Sheet1!$AB$19*' Rolling-window portfolio analy'!E748+Sheet1!$AC$19*' Rolling-window portfolio analy'!F748)</f>
        <v>-2.4312620380336498E-2</v>
      </c>
      <c r="I748" s="6">
        <f t="shared" si="20"/>
        <v>1.7258531074967784</v>
      </c>
      <c r="J748" s="86">
        <f t="shared" si="21"/>
        <v>4.0961060166106065E-3</v>
      </c>
    </row>
    <row r="749" spans="1:10" x14ac:dyDescent="0.3">
      <c r="A749" s="2">
        <v>44944</v>
      </c>
      <c r="B749" s="3">
        <v>-5.3844865478254698E-3</v>
      </c>
      <c r="C749" s="3">
        <v>-1.8244519742537491E-2</v>
      </c>
      <c r="D749" s="3">
        <v>-2.0825280988790086E-2</v>
      </c>
      <c r="E749" s="3">
        <v>-2.5415554917557603E-2</v>
      </c>
      <c r="F749" s="3">
        <v>-1.1414592545315636E-2</v>
      </c>
      <c r="G749" s="3">
        <v>-1.5685001660276407E-2</v>
      </c>
      <c r="H749" s="3">
        <f>(Sheet1!$Y$19*' Rolling-window portfolio analy'!B749+Sheet1!$Z$19*' Rolling-window portfolio analy'!C749+Sheet1!$AA$19*' Rolling-window portfolio analy'!D749+Sheet1!$AB$19*' Rolling-window portfolio analy'!E749+Sheet1!$AC$19*' Rolling-window portfolio analy'!F749)</f>
        <v>-1.5731383880159062E-2</v>
      </c>
      <c r="I749" s="6">
        <f t="shared" si="20"/>
        <v>1.7087904113492089</v>
      </c>
      <c r="J749" s="86">
        <f t="shared" si="21"/>
        <v>4.1357130435116666E-3</v>
      </c>
    </row>
    <row r="750" spans="1:10" x14ac:dyDescent="0.3">
      <c r="A750" s="2">
        <v>44943</v>
      </c>
      <c r="B750" s="3">
        <v>8.718193380140099E-3</v>
      </c>
      <c r="C750" s="3">
        <v>4.6251017650755691E-2</v>
      </c>
      <c r="D750" s="3">
        <v>7.1636433020601756E-2</v>
      </c>
      <c r="E750" s="3">
        <v>-4.7536137683549919E-3</v>
      </c>
      <c r="F750" s="3">
        <v>5.5367720651318926E-3</v>
      </c>
      <c r="G750" s="3">
        <v>-2.0325261125498277E-3</v>
      </c>
      <c r="H750" s="3">
        <f>(Sheet1!$Y$19*' Rolling-window portfolio analy'!B750+Sheet1!$Z$19*' Rolling-window portfolio analy'!C750+Sheet1!$AA$19*' Rolling-window portfolio analy'!D750+Sheet1!$AB$19*' Rolling-window portfolio analy'!E750+Sheet1!$AC$19*' Rolling-window portfolio analy'!F750)</f>
        <v>3.2124959407556344E-2</v>
      </c>
      <c r="I750" s="6">
        <f t="shared" si="20"/>
        <v>1.7354192169637628</v>
      </c>
      <c r="J750" s="86">
        <f t="shared" si="21"/>
        <v>4.9641616011481251E-3</v>
      </c>
    </row>
    <row r="751" spans="1:10" x14ac:dyDescent="0.3">
      <c r="A751" s="2">
        <v>44939</v>
      </c>
      <c r="B751" s="3">
        <v>1.0068325347637248E-2</v>
      </c>
      <c r="C751" s="3">
        <v>2.3347363996990889E-2</v>
      </c>
      <c r="D751" s="3">
        <v>-9.4324979721552727E-3</v>
      </c>
      <c r="E751" s="3">
        <v>4.1184914859701679E-3</v>
      </c>
      <c r="F751" s="3">
        <v>-2.1568333734788702E-3</v>
      </c>
      <c r="G751" s="3">
        <v>3.988850553225138E-3</v>
      </c>
      <c r="H751" s="3">
        <f>(Sheet1!$Y$19*' Rolling-window portfolio analy'!B751+Sheet1!$Z$19*' Rolling-window portfolio analy'!C751+Sheet1!$AA$19*' Rolling-window portfolio analy'!D751+Sheet1!$AB$19*' Rolling-window portfolio analy'!E751+Sheet1!$AC$19*' Rolling-window portfolio analy'!F751)</f>
        <v>1.8161581102796465E-2</v>
      </c>
      <c r="I751" s="6">
        <f t="shared" si="20"/>
        <v>1.7276119939823946</v>
      </c>
      <c r="J751" s="86">
        <f t="shared" si="21"/>
        <v>5.320554826103596E-3</v>
      </c>
    </row>
    <row r="752" spans="1:10" x14ac:dyDescent="0.3">
      <c r="A752" s="2">
        <v>44938</v>
      </c>
      <c r="B752" s="3">
        <v>-5.994754769263538E-4</v>
      </c>
      <c r="C752" s="3">
        <v>3.1377535692255501E-2</v>
      </c>
      <c r="D752" s="3">
        <v>2.7554924639563365E-3</v>
      </c>
      <c r="E752" s="3">
        <v>2.1499303933528419E-2</v>
      </c>
      <c r="F752" s="3">
        <v>1.2319065309098738E-3</v>
      </c>
      <c r="G752" s="3">
        <v>3.4101315868827887E-3</v>
      </c>
      <c r="H752" s="3">
        <f>(Sheet1!$Y$19*' Rolling-window portfolio analy'!B752+Sheet1!$Z$19*' Rolling-window portfolio analy'!C752+Sheet1!$AA$19*' Rolling-window portfolio analy'!D752+Sheet1!$AB$19*' Rolling-window portfolio analy'!E752+Sheet1!$AC$19*' Rolling-window portfolio analy'!F752)</f>
        <v>2.2436442685123088E-2</v>
      </c>
      <c r="I752" s="6">
        <f t="shared" si="20"/>
        <v>1.7313385317053656</v>
      </c>
      <c r="J752" s="86">
        <f t="shared" si="21"/>
        <v>5.7707417192844716E-3</v>
      </c>
    </row>
    <row r="753" spans="1:10" x14ac:dyDescent="0.3">
      <c r="A753" s="2">
        <v>44937</v>
      </c>
      <c r="B753" s="3">
        <v>2.0892441093872414E-2</v>
      </c>
      <c r="C753" s="3">
        <v>5.6408798900857062E-3</v>
      </c>
      <c r="D753" s="3">
        <v>3.6109181780221815E-2</v>
      </c>
      <c r="E753" s="3">
        <v>-1.2965966160090577E-3</v>
      </c>
      <c r="F753" s="3">
        <v>1.5420203518154184E-3</v>
      </c>
      <c r="G753" s="3">
        <v>1.2767544131228952E-2</v>
      </c>
      <c r="H753" s="3">
        <f>(Sheet1!$Y$19*' Rolling-window portfolio analy'!B753+Sheet1!$Z$19*' Rolling-window portfolio analy'!C753+Sheet1!$AA$19*' Rolling-window portfolio analy'!D753+Sheet1!$AB$19*' Rolling-window portfolio analy'!E753+Sheet1!$AC$19*' Rolling-window portfolio analy'!F753)</f>
        <v>8.8308418039946563E-3</v>
      </c>
      <c r="I753" s="6">
        <f t="shared" si="20"/>
        <v>1.6944000520727314</v>
      </c>
      <c r="J753" s="86">
        <f t="shared" si="21"/>
        <v>5.4342650393994696E-3</v>
      </c>
    </row>
    <row r="754" spans="1:10" x14ac:dyDescent="0.3">
      <c r="A754" s="2">
        <v>44936</v>
      </c>
      <c r="B754" s="3">
        <v>4.4464961331942832E-3</v>
      </c>
      <c r="C754" s="3">
        <v>1.775569791631031E-2</v>
      </c>
      <c r="D754" s="3">
        <v>-7.7110431532124999E-3</v>
      </c>
      <c r="E754" s="3">
        <v>1.0747538723581534E-2</v>
      </c>
      <c r="F754" s="3">
        <v>8.0570624889171709E-3</v>
      </c>
      <c r="G754" s="3">
        <v>6.9540205524518915E-3</v>
      </c>
      <c r="H754" s="3">
        <f>(Sheet1!$Y$19*' Rolling-window portfolio analy'!B754+Sheet1!$Z$19*' Rolling-window portfolio analy'!C754+Sheet1!$AA$19*' Rolling-window portfolio analy'!D754+Sheet1!$AB$19*' Rolling-window portfolio analy'!E754+Sheet1!$AC$19*' Rolling-window portfolio analy'!F754)</f>
        <v>1.3734943851198269E-2</v>
      </c>
      <c r="I754" s="6">
        <f t="shared" si="20"/>
        <v>1.6945580145481756</v>
      </c>
      <c r="J754" s="86">
        <f t="shared" si="21"/>
        <v>5.50931552773622E-3</v>
      </c>
    </row>
    <row r="755" spans="1:10" x14ac:dyDescent="0.3">
      <c r="A755" s="83"/>
    </row>
  </sheetData>
  <mergeCells count="2">
    <mergeCell ref="A1:H1"/>
    <mergeCell ref="L1:M1"/>
  </mergeCells>
  <pageMargins left="0.7" right="0.7" top="0.75" bottom="0.75" header="0.3" footer="0.3"/>
  <ignoredErrors>
    <ignoredError sqref="I62:J62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 Risk–return profiles&amp; (heatmp)</vt:lpstr>
      <vt:lpstr>Robust Max sharp Portfolio</vt:lpstr>
      <vt:lpstr> Rolling-window portfolio analy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tharani umesha</dc:creator>
  <cp:lastModifiedBy>tharani umesha</cp:lastModifiedBy>
  <dcterms:created xsi:type="dcterms:W3CDTF">2026-01-09T11:19:15Z</dcterms:created>
  <dcterms:modified xsi:type="dcterms:W3CDTF">2026-02-15T02:58:58Z</dcterms:modified>
</cp:coreProperties>
</file>